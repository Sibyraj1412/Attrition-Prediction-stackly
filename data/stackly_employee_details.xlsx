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 Details" sheetId="1" state="visible" r:id="rId3"/>
    <sheet name="Department Summary" sheetId="2" state="visible" r:id="rId4"/>
    <sheet name="Legend &amp; 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<sst xmlns="http://schemas.openxmlformats.org/spreadsheetml/2006/main" count="1143" uniqueCount="450">
  <si>
    <t xml:space="preserve">Employee ID</t>
  </si>
  <si>
    <t xml:space="preserve">First Name</t>
  </si>
  <si>
    <t xml:space="preserve">Last Name</t>
  </si>
  <si>
    <t xml:space="preserve">Department</t>
  </si>
  <si>
    <t xml:space="preserve">Designation</t>
  </si>
  <si>
    <t xml:space="preserve">Date of Joining</t>
  </si>
  <si>
    <t xml:space="preserve">Employment Type</t>
  </si>
  <si>
    <t xml:space="preserve">Work Location</t>
  </si>
  <si>
    <t xml:space="preserve">Email</t>
  </si>
  <si>
    <t xml:space="preserve">Phone Number</t>
  </si>
  <si>
    <t xml:space="preserve">Reporting Manager</t>
  </si>
  <si>
    <t xml:space="preserve">Annual Salary (Rs.)</t>
  </si>
  <si>
    <t xml:space="preserve">Status</t>
  </si>
  <si>
    <t xml:space="preserve">EMP001</t>
  </si>
  <si>
    <t xml:space="preserve">Anand</t>
  </si>
  <si>
    <t xml:space="preserve">Subramaniam</t>
  </si>
  <si>
    <t xml:space="preserve">Engineering</t>
  </si>
  <si>
    <t xml:space="preserve">Director of Engineering</t>
  </si>
  <si>
    <t xml:space="preserve">Full-Time</t>
  </si>
  <si>
    <t xml:space="preserve">Bengaluru</t>
  </si>
  <si>
    <t xml:space="preserve">anand.subramaniam1@company.com</t>
  </si>
  <si>
    <t xml:space="preserve">+91-9249827706</t>
  </si>
  <si>
    <t xml:space="preserve">Founder / CEO</t>
  </si>
  <si>
    <t xml:space="preserve">On Leave</t>
  </si>
  <si>
    <t xml:space="preserve">EMP002</t>
  </si>
  <si>
    <t xml:space="preserve">Vani</t>
  </si>
  <si>
    <t xml:space="preserve">Naidu</t>
  </si>
  <si>
    <t xml:space="preserve">Sales</t>
  </si>
  <si>
    <t xml:space="preserve">Regional Sales Head</t>
  </si>
  <si>
    <t xml:space="preserve">Chennai</t>
  </si>
  <si>
    <t xml:space="preserve">vani.naidu2@company.com</t>
  </si>
  <si>
    <t xml:space="preserve">+91-9334760738</t>
  </si>
  <si>
    <t xml:space="preserve">Priya Raman</t>
  </si>
  <si>
    <t xml:space="preserve">Active</t>
  </si>
  <si>
    <t xml:space="preserve">EMP003</t>
  </si>
  <si>
    <t xml:space="preserve">Priya</t>
  </si>
  <si>
    <t xml:space="preserve">Human Resources</t>
  </si>
  <si>
    <t xml:space="preserve">HR Business Partner</t>
  </si>
  <si>
    <t xml:space="preserve">Contract</t>
  </si>
  <si>
    <t xml:space="preserve">Mumbai</t>
  </si>
  <si>
    <t xml:space="preserve">priya.naidu3@company.com</t>
  </si>
  <si>
    <t xml:space="preserve">+91-9398704996</t>
  </si>
  <si>
    <t xml:space="preserve">Suresh Iyer</t>
  </si>
  <si>
    <t xml:space="preserve">Resigned</t>
  </si>
  <si>
    <t xml:space="preserve">EMP004</t>
  </si>
  <si>
    <t xml:space="preserve">Vijay</t>
  </si>
  <si>
    <t xml:space="preserve">Gupta</t>
  </si>
  <si>
    <t xml:space="preserve">Operations</t>
  </si>
  <si>
    <t xml:space="preserve">Operations Manager</t>
  </si>
  <si>
    <t xml:space="preserve">Coimbatore</t>
  </si>
  <si>
    <t xml:space="preserve">vijay.gupta4@company.com</t>
  </si>
  <si>
    <t xml:space="preserve">+91-9209747451</t>
  </si>
  <si>
    <t xml:space="preserve">EMP005</t>
  </si>
  <si>
    <t xml:space="preserve">Vikram</t>
  </si>
  <si>
    <t xml:space="preserve">Rajan</t>
  </si>
  <si>
    <t xml:space="preserve">Finance</t>
  </si>
  <si>
    <t xml:space="preserve">Accountant</t>
  </si>
  <si>
    <t xml:space="preserve">vikram.rajan5@company.com</t>
  </si>
  <si>
    <t xml:space="preserve">+91-9234031070</t>
  </si>
  <si>
    <t xml:space="preserve">Ramesh Nair</t>
  </si>
  <si>
    <t xml:space="preserve">EMP006</t>
  </si>
  <si>
    <t xml:space="preserve">Balaji</t>
  </si>
  <si>
    <t xml:space="preserve">Balakrishnan</t>
  </si>
  <si>
    <t xml:space="preserve">Logistics Coordinator</t>
  </si>
  <si>
    <t xml:space="preserve">balaji.balakrishnan6@company.com</t>
  </si>
  <si>
    <t xml:space="preserve">+91-9810026086</t>
  </si>
  <si>
    <t xml:space="preserve">EMP007</t>
  </si>
  <si>
    <t xml:space="preserve">Prakash</t>
  </si>
  <si>
    <t xml:space="preserve">Customer Support</t>
  </si>
  <si>
    <t xml:space="preserve">Senior Support Executive</t>
  </si>
  <si>
    <t xml:space="preserve">prakash.subramaniam7@company.com</t>
  </si>
  <si>
    <t xml:space="preserve">+91-9497478786</t>
  </si>
  <si>
    <t xml:space="preserve">Meena Pillai</t>
  </si>
  <si>
    <t xml:space="preserve">EMP008</t>
  </si>
  <si>
    <t xml:space="preserve">Nithya</t>
  </si>
  <si>
    <t xml:space="preserve">Krishnan</t>
  </si>
  <si>
    <t xml:space="preserve">Marketing</t>
  </si>
  <si>
    <t xml:space="preserve">Content Strategist</t>
  </si>
  <si>
    <t xml:space="preserve">Hyderabad</t>
  </si>
  <si>
    <t xml:space="preserve">nithya.krishnan8@company.com</t>
  </si>
  <si>
    <t xml:space="preserve">+91-9389854268</t>
  </si>
  <si>
    <t xml:space="preserve">EMP009</t>
  </si>
  <si>
    <t xml:space="preserve">Chandran</t>
  </si>
  <si>
    <t xml:space="preserve">Senior Software Engineer</t>
  </si>
  <si>
    <t xml:space="preserve">prakash.chandran9@company.com</t>
  </si>
  <si>
    <t xml:space="preserve">+91-9530747414</t>
  </si>
  <si>
    <t xml:space="preserve">EMP010</t>
  </si>
  <si>
    <t xml:space="preserve">Sanjay</t>
  </si>
  <si>
    <t xml:space="preserve">sanjay.chandran10@company.com</t>
  </si>
  <si>
    <t xml:space="preserve">+91-9384412919</t>
  </si>
  <si>
    <t xml:space="preserve">EMP011</t>
  </si>
  <si>
    <t xml:space="preserve">Radha</t>
  </si>
  <si>
    <t xml:space="preserve">Payroll Specialist</t>
  </si>
  <si>
    <t xml:space="preserve">radha.naidu11@company.com</t>
  </si>
  <si>
    <t xml:space="preserve">+91-9335493870</t>
  </si>
  <si>
    <t xml:space="preserve">EMP012</t>
  </si>
  <si>
    <t xml:space="preserve">Suresh</t>
  </si>
  <si>
    <t xml:space="preserve">Raman</t>
  </si>
  <si>
    <t xml:space="preserve">Senior Sales Executive</t>
  </si>
  <si>
    <t xml:space="preserve">Remote</t>
  </si>
  <si>
    <t xml:space="preserve">suresh.raman12@company.com</t>
  </si>
  <si>
    <t xml:space="preserve">+91-9553290810</t>
  </si>
  <si>
    <t xml:space="preserve">Ganesh Babu</t>
  </si>
  <si>
    <t xml:space="preserve">EMP013</t>
  </si>
  <si>
    <t xml:space="preserve">Sathish</t>
  </si>
  <si>
    <t xml:space="preserve">Product</t>
  </si>
  <si>
    <t xml:space="preserve">Senior Product Manager</t>
  </si>
  <si>
    <t xml:space="preserve">Part-Time</t>
  </si>
  <si>
    <t xml:space="preserve">sathish.balakrishnan13@company.com</t>
  </si>
  <si>
    <t xml:space="preserve">+91-9830448745</t>
  </si>
  <si>
    <t xml:space="preserve">EMP014</t>
  </si>
  <si>
    <t xml:space="preserve">Kumar</t>
  </si>
  <si>
    <t xml:space="preserve">Babu</t>
  </si>
  <si>
    <t xml:space="preserve">Operations Executive</t>
  </si>
  <si>
    <t xml:space="preserve">kumar.babu14@company.com</t>
  </si>
  <si>
    <t xml:space="preserve">+91-9587182120</t>
  </si>
  <si>
    <t xml:space="preserve">EMP015</t>
  </si>
  <si>
    <t xml:space="preserve">Mohan</t>
  </si>
  <si>
    <t xml:space="preserve">Reddy</t>
  </si>
  <si>
    <t xml:space="preserve">Marketing Executive</t>
  </si>
  <si>
    <t xml:space="preserve">mohan.reddy15@company.com</t>
  </si>
  <si>
    <t xml:space="preserve">+91-9645098869</t>
  </si>
  <si>
    <t xml:space="preserve">EMP016</t>
  </si>
  <si>
    <t xml:space="preserve">Pooja</t>
  </si>
  <si>
    <t xml:space="preserve">Iyer</t>
  </si>
  <si>
    <t xml:space="preserve">Engineering Manager</t>
  </si>
  <si>
    <t xml:space="preserve">pooja.iyer16@company.com</t>
  </si>
  <si>
    <t xml:space="preserve">+91-9220117054</t>
  </si>
  <si>
    <t xml:space="preserve">EMP017</t>
  </si>
  <si>
    <t xml:space="preserve">Karthik</t>
  </si>
  <si>
    <t xml:space="preserve">Nair</t>
  </si>
  <si>
    <t xml:space="preserve">Sales Executive</t>
  </si>
  <si>
    <t xml:space="preserve">karthik.nair17@company.com</t>
  </si>
  <si>
    <t xml:space="preserve">+91-9916690353</t>
  </si>
  <si>
    <t xml:space="preserve">EMP018</t>
  </si>
  <si>
    <t xml:space="preserve">Gopal</t>
  </si>
  <si>
    <t xml:space="preserve">Verma</t>
  </si>
  <si>
    <t xml:space="preserve">Marketing Manager</t>
  </si>
  <si>
    <t xml:space="preserve">gopal.verma18@company.com</t>
  </si>
  <si>
    <t xml:space="preserve">+91-9327416584</t>
  </si>
  <si>
    <t xml:space="preserve">EMP019</t>
  </si>
  <si>
    <t xml:space="preserve">Revathi</t>
  </si>
  <si>
    <t xml:space="preserve">Murthy</t>
  </si>
  <si>
    <t xml:space="preserve">revathi.murthy19@company.com</t>
  </si>
  <si>
    <t xml:space="preserve">+91-9366186631</t>
  </si>
  <si>
    <t xml:space="preserve">EMP020</t>
  </si>
  <si>
    <t xml:space="preserve">Iyengar</t>
  </si>
  <si>
    <t xml:space="preserve">Talent Acquisition Specialist</t>
  </si>
  <si>
    <t xml:space="preserve">priya.iyengar20@company.com</t>
  </si>
  <si>
    <t xml:space="preserve">+91-9777641645</t>
  </si>
  <si>
    <t xml:space="preserve">EMP021</t>
  </si>
  <si>
    <t xml:space="preserve">Divya</t>
  </si>
  <si>
    <t xml:space="preserve">divya.chandran21@company.com</t>
  </si>
  <si>
    <t xml:space="preserve">+91-9678998028</t>
  </si>
  <si>
    <t xml:space="preserve">EMP022</t>
  </si>
  <si>
    <t xml:space="preserve">sanjay.verma22@company.com</t>
  </si>
  <si>
    <t xml:space="preserve">+91-9201281557</t>
  </si>
  <si>
    <t xml:space="preserve">EMP023</t>
  </si>
  <si>
    <t xml:space="preserve">vikram.gupta23@company.com</t>
  </si>
  <si>
    <t xml:space="preserve">+91-9801642483</t>
  </si>
  <si>
    <t xml:space="preserve">EMP024</t>
  </si>
  <si>
    <t xml:space="preserve">Kalpana</t>
  </si>
  <si>
    <t xml:space="preserve">kalpana.chandran24@company.com</t>
  </si>
  <si>
    <t xml:space="preserve">+91-9581695135</t>
  </si>
  <si>
    <t xml:space="preserve">EMP025</t>
  </si>
  <si>
    <t xml:space="preserve">Sharma</t>
  </si>
  <si>
    <t xml:space="preserve">HR Executive</t>
  </si>
  <si>
    <t xml:space="preserve">nithya.sharma25@company.com</t>
  </si>
  <si>
    <t xml:space="preserve">+91-9154318806</t>
  </si>
  <si>
    <t xml:space="preserve">EMP026</t>
  </si>
  <si>
    <t xml:space="preserve">Arjun</t>
  </si>
  <si>
    <t xml:space="preserve">arjun.krishnan26@company.com</t>
  </si>
  <si>
    <t xml:space="preserve">+91-9329509408</t>
  </si>
  <si>
    <t xml:space="preserve">EMP027</t>
  </si>
  <si>
    <t xml:space="preserve">Menon</t>
  </si>
  <si>
    <t xml:space="preserve">sathish.menon27@company.com</t>
  </si>
  <si>
    <t xml:space="preserve">+91-9554200826</t>
  </si>
  <si>
    <t xml:space="preserve">EMP028</t>
  </si>
  <si>
    <t xml:space="preserve">radha.verma28@company.com</t>
  </si>
  <si>
    <t xml:space="preserve">+91-9721890096</t>
  </si>
  <si>
    <t xml:space="preserve">EMP029</t>
  </si>
  <si>
    <t xml:space="preserve">Software Engineer</t>
  </si>
  <si>
    <t xml:space="preserve">vani.chandran29@company.com</t>
  </si>
  <si>
    <t xml:space="preserve">+91-9670292350</t>
  </si>
  <si>
    <t xml:space="preserve">EMP030</t>
  </si>
  <si>
    <t xml:space="preserve">suresh.iyer30@company.com</t>
  </si>
  <si>
    <t xml:space="preserve">+91-9228727266</t>
  </si>
  <si>
    <t xml:space="preserve">EMP031</t>
  </si>
  <si>
    <t xml:space="preserve">Praveen</t>
  </si>
  <si>
    <t xml:space="preserve">praveen.raman31@company.com</t>
  </si>
  <si>
    <t xml:space="preserve">+91-9661333669</t>
  </si>
  <si>
    <t xml:space="preserve">EMP032</t>
  </si>
  <si>
    <t xml:space="preserve">Deepa</t>
  </si>
  <si>
    <t xml:space="preserve">HR Manager</t>
  </si>
  <si>
    <t xml:space="preserve">deepa.chandran32@company.com</t>
  </si>
  <si>
    <t xml:space="preserve">+91-9793101194</t>
  </si>
  <si>
    <t xml:space="preserve">EMP033</t>
  </si>
  <si>
    <t xml:space="preserve">Ravi</t>
  </si>
  <si>
    <t xml:space="preserve">DevOps Engineer</t>
  </si>
  <si>
    <t xml:space="preserve">ravi.krishnan33@company.com</t>
  </si>
  <si>
    <t xml:space="preserve">+91-9178663096</t>
  </si>
  <si>
    <t xml:space="preserve">EMP034</t>
  </si>
  <si>
    <t xml:space="preserve">Narayanan</t>
  </si>
  <si>
    <t xml:space="preserve">mohan.narayanan34@company.com</t>
  </si>
  <si>
    <t xml:space="preserve">+91-9406002884</t>
  </si>
  <si>
    <t xml:space="preserve">EMP035</t>
  </si>
  <si>
    <t xml:space="preserve">Sundaram</t>
  </si>
  <si>
    <t xml:space="preserve">kumar.sundaram35@company.com</t>
  </si>
  <si>
    <t xml:space="preserve">+91-9812308209</t>
  </si>
  <si>
    <t xml:space="preserve">EMP036</t>
  </si>
  <si>
    <t xml:space="preserve">mohan.subramaniam36@company.com</t>
  </si>
  <si>
    <t xml:space="preserve">+91-9326161867</t>
  </si>
  <si>
    <t xml:space="preserve">EMP037</t>
  </si>
  <si>
    <t xml:space="preserve">Malathi</t>
  </si>
  <si>
    <t xml:space="preserve">Product Manager</t>
  </si>
  <si>
    <t xml:space="preserve">malathi.babu37@company.com</t>
  </si>
  <si>
    <t xml:space="preserve">+91-9781057736</t>
  </si>
  <si>
    <t xml:space="preserve">EMP038</t>
  </si>
  <si>
    <t xml:space="preserve">arjun.chandran38@company.com</t>
  </si>
  <si>
    <t xml:space="preserve">+91-9857704655</t>
  </si>
  <si>
    <t xml:space="preserve">EMP039</t>
  </si>
  <si>
    <t xml:space="preserve">Ramesh</t>
  </si>
  <si>
    <t xml:space="preserve">ramesh.krishnan39@company.com</t>
  </si>
  <si>
    <t xml:space="preserve">+91-9693269304</t>
  </si>
  <si>
    <t xml:space="preserve">EMP040</t>
  </si>
  <si>
    <t xml:space="preserve">divya.sundaram40@company.com</t>
  </si>
  <si>
    <t xml:space="preserve">+91-9367930513</t>
  </si>
  <si>
    <t xml:space="preserve">EMP041</t>
  </si>
  <si>
    <t xml:space="preserve">Indira</t>
  </si>
  <si>
    <t xml:space="preserve">Support Team Lead</t>
  </si>
  <si>
    <t xml:space="preserve">indira.naidu41@company.com</t>
  </si>
  <si>
    <t xml:space="preserve">+91-9274484941</t>
  </si>
  <si>
    <t xml:space="preserve">EMP042</t>
  </si>
  <si>
    <t xml:space="preserve">priya.iyer42@company.com</t>
  </si>
  <si>
    <t xml:space="preserve">+91-9270937380</t>
  </si>
  <si>
    <t xml:space="preserve">EMP043</t>
  </si>
  <si>
    <t xml:space="preserve">divya.verma43@company.com</t>
  </si>
  <si>
    <t xml:space="preserve">+91-9427696198</t>
  </si>
  <si>
    <t xml:space="preserve">EMP044</t>
  </si>
  <si>
    <t xml:space="preserve">Pillai</t>
  </si>
  <si>
    <t xml:space="preserve">gopal.pillai44@company.com</t>
  </si>
  <si>
    <t xml:space="preserve">+91-9477040284</t>
  </si>
  <si>
    <t xml:space="preserve">EMP045</t>
  </si>
  <si>
    <t xml:space="preserve">malathi.naidu45@company.com</t>
  </si>
  <si>
    <t xml:space="preserve">+91-9723403479</t>
  </si>
  <si>
    <t xml:space="preserve">EMP046</t>
  </si>
  <si>
    <t xml:space="preserve">praveen.gupta46@company.com</t>
  </si>
  <si>
    <t xml:space="preserve">+91-9750911797</t>
  </si>
  <si>
    <t xml:space="preserve">EMP047</t>
  </si>
  <si>
    <t xml:space="preserve">sanjay.pillai47@company.com</t>
  </si>
  <si>
    <t xml:space="preserve">+91-9658260221</t>
  </si>
  <si>
    <t xml:space="preserve">EMP048</t>
  </si>
  <si>
    <t xml:space="preserve">vani.pillai48@company.com</t>
  </si>
  <si>
    <t xml:space="preserve">+91-9437064353</t>
  </si>
  <si>
    <t xml:space="preserve">EMP049</t>
  </si>
  <si>
    <t xml:space="preserve">revathi.reddy49@company.com</t>
  </si>
  <si>
    <t xml:space="preserve">+91-9417457352</t>
  </si>
  <si>
    <t xml:space="preserve">EMP050</t>
  </si>
  <si>
    <t xml:space="preserve">Naveen</t>
  </si>
  <si>
    <t xml:space="preserve">naveen.murthy50@company.com</t>
  </si>
  <si>
    <t xml:space="preserve">+91-9426283245</t>
  </si>
  <si>
    <t xml:space="preserve">EMP051</t>
  </si>
  <si>
    <t xml:space="preserve">Vidya</t>
  </si>
  <si>
    <t xml:space="preserve">vidya.balakrishnan51@company.com</t>
  </si>
  <si>
    <t xml:space="preserve">+91-9329460134</t>
  </si>
  <si>
    <t xml:space="preserve">EMP052</t>
  </si>
  <si>
    <t xml:space="preserve">Sales Manager</t>
  </si>
  <si>
    <t xml:space="preserve">vani.iyer52@company.com</t>
  </si>
  <si>
    <t xml:space="preserve">+91-9200273738</t>
  </si>
  <si>
    <t xml:space="preserve">EMP053</t>
  </si>
  <si>
    <t xml:space="preserve">Senthil</t>
  </si>
  <si>
    <t xml:space="preserve">senthil.narayanan53@company.com</t>
  </si>
  <si>
    <t xml:space="preserve">+91-9925159146</t>
  </si>
  <si>
    <t xml:space="preserve">EMP054</t>
  </si>
  <si>
    <t xml:space="preserve">anand.iyengar54@company.com</t>
  </si>
  <si>
    <t xml:space="preserve">+91-9258453521</t>
  </si>
  <si>
    <t xml:space="preserve">EMP055</t>
  </si>
  <si>
    <t xml:space="preserve">Support Executive</t>
  </si>
  <si>
    <t xml:space="preserve">ravi.subramaniam55@company.com</t>
  </si>
  <si>
    <t xml:space="preserve">+91-9153921577</t>
  </si>
  <si>
    <t xml:space="preserve">EMP056</t>
  </si>
  <si>
    <t xml:space="preserve">SEO Specialist</t>
  </si>
  <si>
    <t xml:space="preserve">ramesh.sharma56@company.com</t>
  </si>
  <si>
    <t xml:space="preserve">+91-9739362057</t>
  </si>
  <si>
    <t xml:space="preserve">EMP057</t>
  </si>
  <si>
    <t xml:space="preserve">Latha</t>
  </si>
  <si>
    <t xml:space="preserve">latha.reddy57@company.com</t>
  </si>
  <si>
    <t xml:space="preserve">+91-9609677794</t>
  </si>
  <si>
    <t xml:space="preserve">EMP058</t>
  </si>
  <si>
    <t xml:space="preserve">Swathi</t>
  </si>
  <si>
    <t xml:space="preserve">swathi.babu58@company.com</t>
  </si>
  <si>
    <t xml:space="preserve">+91-9183197117</t>
  </si>
  <si>
    <t xml:space="preserve">EMP059</t>
  </si>
  <si>
    <t xml:space="preserve">nithya.chandran59@company.com</t>
  </si>
  <si>
    <t xml:space="preserve">+91-9348315126</t>
  </si>
  <si>
    <t xml:space="preserve">EMP060</t>
  </si>
  <si>
    <t xml:space="preserve">Padma</t>
  </si>
  <si>
    <t xml:space="preserve">padma.pillai60@company.com</t>
  </si>
  <si>
    <t xml:space="preserve">+91-9600282414</t>
  </si>
  <si>
    <t xml:space="preserve">EMP061</t>
  </si>
  <si>
    <t xml:space="preserve">indira.iyengar61@company.com</t>
  </si>
  <si>
    <t xml:space="preserve">+91-9477698143</t>
  </si>
  <si>
    <t xml:space="preserve">EMP062</t>
  </si>
  <si>
    <t xml:space="preserve">naveen.naidu62@company.com</t>
  </si>
  <si>
    <t xml:space="preserve">+91-9621454127</t>
  </si>
  <si>
    <t xml:space="preserve">EMP063</t>
  </si>
  <si>
    <t xml:space="preserve">gopal.murthy63@company.com</t>
  </si>
  <si>
    <t xml:space="preserve">+91-9128955006</t>
  </si>
  <si>
    <t xml:space="preserve">EMP064</t>
  </si>
  <si>
    <t xml:space="preserve">gopal.menon64@company.com</t>
  </si>
  <si>
    <t xml:space="preserve">+91-9153992714</t>
  </si>
  <si>
    <t xml:space="preserve">EMP065</t>
  </si>
  <si>
    <t xml:space="preserve">deepa.sharma65@company.com</t>
  </si>
  <si>
    <t xml:space="preserve">+91-9907464398</t>
  </si>
  <si>
    <t xml:space="preserve">EMP066</t>
  </si>
  <si>
    <t xml:space="preserve">suresh.verma66@company.com</t>
  </si>
  <si>
    <t xml:space="preserve">+91-9340756713</t>
  </si>
  <si>
    <t xml:space="preserve">EMP067</t>
  </si>
  <si>
    <t xml:space="preserve">Chitra</t>
  </si>
  <si>
    <t xml:space="preserve">chitra.raman67@company.com</t>
  </si>
  <si>
    <t xml:space="preserve">+91-9263619298</t>
  </si>
  <si>
    <t xml:space="preserve">EMP068</t>
  </si>
  <si>
    <t xml:space="preserve">gopal.subramaniam68@company.com</t>
  </si>
  <si>
    <t xml:space="preserve">+91-9280162221</t>
  </si>
  <si>
    <t xml:space="preserve">EMP069</t>
  </si>
  <si>
    <t xml:space="preserve">padma.subramaniam69@company.com</t>
  </si>
  <si>
    <t xml:space="preserve">+91-9434961542</t>
  </si>
  <si>
    <t xml:space="preserve">EMP070</t>
  </si>
  <si>
    <t xml:space="preserve">Lakshmi</t>
  </si>
  <si>
    <t xml:space="preserve">lakshmi.iyengar70@company.com</t>
  </si>
  <si>
    <t xml:space="preserve">+91-9744687060</t>
  </si>
  <si>
    <t xml:space="preserve">EMP071</t>
  </si>
  <si>
    <t xml:space="preserve">divya.rajan71@company.com</t>
  </si>
  <si>
    <t xml:space="preserve">+91-9795294275</t>
  </si>
  <si>
    <t xml:space="preserve">EMP072</t>
  </si>
  <si>
    <t xml:space="preserve">naveen.verma72@company.com</t>
  </si>
  <si>
    <t xml:space="preserve">+91-9264272995</t>
  </si>
  <si>
    <t xml:space="preserve">EMP073</t>
  </si>
  <si>
    <t xml:space="preserve">Shanthi</t>
  </si>
  <si>
    <t xml:space="preserve">shanthi.babu73@company.com</t>
  </si>
  <si>
    <t xml:space="preserve">+91-9446071904</t>
  </si>
  <si>
    <t xml:space="preserve">EMP074</t>
  </si>
  <si>
    <t xml:space="preserve">Rajesh</t>
  </si>
  <si>
    <t xml:space="preserve">rajesh.nair74@company.com</t>
  </si>
  <si>
    <t xml:space="preserve">+91-9130816384</t>
  </si>
  <si>
    <t xml:space="preserve">EMP075</t>
  </si>
  <si>
    <t xml:space="preserve">Geetha</t>
  </si>
  <si>
    <t xml:space="preserve">geetha.pillai75@company.com</t>
  </si>
  <si>
    <t xml:space="preserve">+91-9852890318</t>
  </si>
  <si>
    <t xml:space="preserve">EMP076</t>
  </si>
  <si>
    <t xml:space="preserve">shanthi.pillai76@company.com</t>
  </si>
  <si>
    <t xml:space="preserve">+91-9696115913</t>
  </si>
  <si>
    <t xml:space="preserve">EMP077</t>
  </si>
  <si>
    <t xml:space="preserve">Product Analyst</t>
  </si>
  <si>
    <t xml:space="preserve">chitra.verma77@company.com</t>
  </si>
  <si>
    <t xml:space="preserve">+91-9534222401</t>
  </si>
  <si>
    <t xml:space="preserve">EMP078</t>
  </si>
  <si>
    <t xml:space="preserve">gopal.iyengar78@company.com</t>
  </si>
  <si>
    <t xml:space="preserve">+91-9556881239</t>
  </si>
  <si>
    <t xml:space="preserve">EMP079</t>
  </si>
  <si>
    <t xml:space="preserve">Finance Manager</t>
  </si>
  <si>
    <t xml:space="preserve">vikram.sharma79@company.com</t>
  </si>
  <si>
    <t xml:space="preserve">+91-9874473159</t>
  </si>
  <si>
    <t xml:space="preserve">EMP080</t>
  </si>
  <si>
    <t xml:space="preserve">ravi.iyer80@company.com</t>
  </si>
  <si>
    <t xml:space="preserve">+91-9878017216</t>
  </si>
  <si>
    <t xml:space="preserve">EMP081</t>
  </si>
  <si>
    <t xml:space="preserve">praveen.sundaram81@company.com</t>
  </si>
  <si>
    <t xml:space="preserve">+91-9292673892</t>
  </si>
  <si>
    <t xml:space="preserve">EMP082</t>
  </si>
  <si>
    <t xml:space="preserve">kumar.narayanan82@company.com</t>
  </si>
  <si>
    <t xml:space="preserve">+91-9848846217</t>
  </si>
  <si>
    <t xml:space="preserve">EMP083</t>
  </si>
  <si>
    <t xml:space="preserve">ravi.verma83@company.com</t>
  </si>
  <si>
    <t xml:space="preserve">+91-9614015466</t>
  </si>
  <si>
    <t xml:space="preserve">EMP084</t>
  </si>
  <si>
    <t xml:space="preserve">karthik.babu84@company.com</t>
  </si>
  <si>
    <t xml:space="preserve">+91-9628008852</t>
  </si>
  <si>
    <t xml:space="preserve">EMP085</t>
  </si>
  <si>
    <t xml:space="preserve">malathi.raman85@company.com</t>
  </si>
  <si>
    <t xml:space="preserve">+91-9191462297</t>
  </si>
  <si>
    <t xml:space="preserve">EMP086</t>
  </si>
  <si>
    <t xml:space="preserve">ravi.gupta86@company.com</t>
  </si>
  <si>
    <t xml:space="preserve">+91-9731924051</t>
  </si>
  <si>
    <t xml:space="preserve">EMP087</t>
  </si>
  <si>
    <t xml:space="preserve">latha.raman87@company.com</t>
  </si>
  <si>
    <t xml:space="preserve">+91-9809129316</t>
  </si>
  <si>
    <t xml:space="preserve">EMP088</t>
  </si>
  <si>
    <t xml:space="preserve">Kavya</t>
  </si>
  <si>
    <t xml:space="preserve">kavya.naidu88@company.com</t>
  </si>
  <si>
    <t xml:space="preserve">+91-9840206617</t>
  </si>
  <si>
    <t xml:space="preserve">EMP089</t>
  </si>
  <si>
    <t xml:space="preserve">divya.nair89@company.com</t>
  </si>
  <si>
    <t xml:space="preserve">+91-9838073939</t>
  </si>
  <si>
    <t xml:space="preserve">EMP090</t>
  </si>
  <si>
    <t xml:space="preserve">Bhavani</t>
  </si>
  <si>
    <t xml:space="preserve">bhavani.subramaniam90@company.com</t>
  </si>
  <si>
    <t xml:space="preserve">+91-9164035859</t>
  </si>
  <si>
    <t xml:space="preserve">EMP091</t>
  </si>
  <si>
    <t xml:space="preserve">vani.iyengar91@company.com</t>
  </si>
  <si>
    <t xml:space="preserve">+91-9426515425</t>
  </si>
  <si>
    <t xml:space="preserve">EMP092</t>
  </si>
  <si>
    <t xml:space="preserve">Dinesh</t>
  </si>
  <si>
    <t xml:space="preserve">dinesh.naidu92@company.com</t>
  </si>
  <si>
    <t xml:space="preserve">+91-9563887247</t>
  </si>
  <si>
    <t xml:space="preserve">EMP093</t>
  </si>
  <si>
    <t xml:space="preserve">mohan.menon93@company.com</t>
  </si>
  <si>
    <t xml:space="preserve">+91-9122275263</t>
  </si>
  <si>
    <t xml:space="preserve">EMP094</t>
  </si>
  <si>
    <t xml:space="preserve">sanjay.raman94@company.com</t>
  </si>
  <si>
    <t xml:space="preserve">+91-9294872482</t>
  </si>
  <si>
    <t xml:space="preserve">EMP095</t>
  </si>
  <si>
    <t xml:space="preserve">geetha.krishnan95@company.com</t>
  </si>
  <si>
    <t xml:space="preserve">+91-9819550381</t>
  </si>
  <si>
    <t xml:space="preserve">EMP096</t>
  </si>
  <si>
    <t xml:space="preserve">balaji.murthy96@company.com</t>
  </si>
  <si>
    <t xml:space="preserve">+91-9447112584</t>
  </si>
  <si>
    <t xml:space="preserve">EMP097</t>
  </si>
  <si>
    <t xml:space="preserve">dinesh.menon97@company.com</t>
  </si>
  <si>
    <t xml:space="preserve">+91-9488457631</t>
  </si>
  <si>
    <t xml:space="preserve">EMP098</t>
  </si>
  <si>
    <t xml:space="preserve">rajesh.raman98@company.com</t>
  </si>
  <si>
    <t xml:space="preserve">+91-9570423569</t>
  </si>
  <si>
    <t xml:space="preserve">EMP099</t>
  </si>
  <si>
    <t xml:space="preserve">priya.balakrishnan99@company.com</t>
  </si>
  <si>
    <t xml:space="preserve">+91-9692975437</t>
  </si>
  <si>
    <t xml:space="preserve">EMP100</t>
  </si>
  <si>
    <t xml:space="preserve">ramesh.narayanan100@company.com</t>
  </si>
  <si>
    <t xml:space="preserve">+91-9393587744</t>
  </si>
  <si>
    <t xml:space="preserve">Total Employees:</t>
  </si>
  <si>
    <t xml:space="preserve">Total Annual Salary Cost (Rs.):</t>
  </si>
  <si>
    <t xml:space="preserve">Active Employees:</t>
  </si>
  <si>
    <t xml:space="preserve">On Leave:</t>
  </si>
  <si>
    <t xml:space="preserve">Resigned:</t>
  </si>
  <si>
    <t xml:space="preserve">Employee Count</t>
  </si>
  <si>
    <t xml:space="preserve">Total Salary Cost (Rs.)</t>
  </si>
  <si>
    <t xml:space="preserve">How to use this workbook</t>
  </si>
  <si>
    <t xml:space="preserve">1. This workbook contains 100 sample employee records with realistic, randomly generated data.</t>
  </si>
  <si>
    <t xml:space="preserve">2. Add new employees by inserting rows and filling in the same columns.</t>
  </si>
  <si>
    <t xml:space="preserve">3. Keep 'Employee ID' unique for each row (e.g., EMP101, EMP102, ...).</t>
  </si>
  <si>
    <t xml:space="preserve">4. 'Date of Joining' should be entered as a date (YYYY-MM-DD) for correct sorting.</t>
  </si>
  <si>
    <t xml:space="preserve">5. The summary rows below the main table (Total Employees, Total Salary Cost, Active,</t>
  </si>
  <si>
    <t xml:space="preserve">   On Leave, Resigned) use formulas and update automatically as you edit the table.</t>
  </si>
  <si>
    <t xml:space="preserve">6. The 'Department Summary' tab breaks down headcount and salary cost by department,</t>
  </si>
  <si>
    <t xml:space="preserve">   also using formulas that recalculate automatically.</t>
  </si>
  <si>
    <t xml:space="preserve">7. If you add many rows beyond row 101, extend the formula ranges (SUM/COUNTIF/SUMIF)</t>
  </si>
  <si>
    <t xml:space="preserve">   to cover the new rows.</t>
  </si>
  <si>
    <t xml:space="preserve">Note: This is a static template with sample data, not a live/real-time data feed.</t>
  </si>
  <si>
    <t xml:space="preserve">To connect it to a live HR system or database, it would need Power Query, an API</t>
  </si>
  <si>
    <t xml:space="preserve">connection, or Office Scripts, tied to your company's specific HR data source.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</si>
</sst>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\-yyyy"/>
    <numFmt numFmtId="166" formatCode="\₹##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9EAD3"/>
        <bgColor rgb="FFFFF2CC"/>
      </patternFill>
    </fill>
    <fill>
      <patternFill patternType="solid">
        <fgColor rgb="FFF4CCCC"/>
        <bgColor rgb="FFD9EAD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24"/>
    <col collapsed="false" customWidth="true" hidden="false" outlineLevel="0" max="7" min="6" style="0" width="15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0" min="10" style="0" width="16"/>
    <col collapsed="false" customWidth="true" hidden="false" outlineLevel="0" max="11" min="11" style="0" width="18"/>
    <col collapsed="false" customWidth="true" hidden="false" outlineLevel="0" max="12" min="12" style="0" width="16"/>
    <col collapsed="false" customWidth="true" hidden="false" outlineLevel="0" max="13" min="13" style="0" width="12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n">
        <v>43131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4" t="n">
        <v>2307473</v>
      </c>
      <c r="M2" s="5" t="s">
        <v>23</v>
      </c>
    </row>
    <row r="3" customFormat="false" ht="15" hidden="false" customHeight="false" outlineLevel="0" collapsed="false">
      <c r="A3" s="2" t="s">
        <v>24</v>
      </c>
      <c r="B3" s="2" t="s">
        <v>25</v>
      </c>
      <c r="C3" s="2" t="s">
        <v>26</v>
      </c>
      <c r="D3" s="2" t="s">
        <v>27</v>
      </c>
      <c r="E3" s="2" t="s">
        <v>28</v>
      </c>
      <c r="F3" s="3" t="n">
        <v>42135</v>
      </c>
      <c r="G3" s="2" t="s">
        <v>18</v>
      </c>
      <c r="H3" s="2" t="s">
        <v>29</v>
      </c>
      <c r="I3" s="2" t="s">
        <v>30</v>
      </c>
      <c r="J3" s="2" t="s">
        <v>31</v>
      </c>
      <c r="K3" s="2" t="s">
        <v>32</v>
      </c>
      <c r="L3" s="4" t="n">
        <v>2729903</v>
      </c>
      <c r="M3" s="6" t="s">
        <v>33</v>
      </c>
    </row>
    <row r="4" customFormat="false" ht="15" hidden="false" customHeight="false" outlineLevel="0" collapsed="false">
      <c r="A4" s="2" t="s">
        <v>34</v>
      </c>
      <c r="B4" s="2" t="s">
        <v>35</v>
      </c>
      <c r="C4" s="2" t="s">
        <v>26</v>
      </c>
      <c r="D4" s="2" t="s">
        <v>36</v>
      </c>
      <c r="E4" s="2" t="s">
        <v>37</v>
      </c>
      <c r="F4" s="3" t="n">
        <v>42907</v>
      </c>
      <c r="G4" s="2" t="s">
        <v>38</v>
      </c>
      <c r="H4" s="2" t="s">
        <v>39</v>
      </c>
      <c r="I4" s="2" t="s">
        <v>40</v>
      </c>
      <c r="J4" s="2" t="s">
        <v>41</v>
      </c>
      <c r="K4" s="2" t="s">
        <v>42</v>
      </c>
      <c r="L4" s="4" t="n">
        <v>897833</v>
      </c>
      <c r="M4" s="7" t="s">
        <v>43</v>
      </c>
    </row>
    <row r="5" customFormat="false" ht="15" hidden="false" customHeight="false" outlineLevel="0" collapsed="false">
      <c r="A5" s="2" t="s">
        <v>44</v>
      </c>
      <c r="B5" s="2" t="s">
        <v>45</v>
      </c>
      <c r="C5" s="2" t="s">
        <v>46</v>
      </c>
      <c r="D5" s="2" t="s">
        <v>47</v>
      </c>
      <c r="E5" s="2" t="s">
        <v>48</v>
      </c>
      <c r="F5" s="3" t="n">
        <v>42641</v>
      </c>
      <c r="G5" s="2" t="s">
        <v>18</v>
      </c>
      <c r="H5" s="2" t="s">
        <v>49</v>
      </c>
      <c r="I5" s="2" t="s">
        <v>50</v>
      </c>
      <c r="J5" s="2" t="s">
        <v>51</v>
      </c>
      <c r="K5" s="2" t="s">
        <v>42</v>
      </c>
      <c r="L5" s="4" t="n">
        <v>1698382</v>
      </c>
      <c r="M5" s="6" t="s">
        <v>33</v>
      </c>
    </row>
    <row r="6" customFormat="false" ht="15" hidden="false" customHeight="false" outlineLevel="0" collapsed="false">
      <c r="A6" s="2" t="s">
        <v>52</v>
      </c>
      <c r="B6" s="2" t="s">
        <v>53</v>
      </c>
      <c r="C6" s="2" t="s">
        <v>54</v>
      </c>
      <c r="D6" s="2" t="s">
        <v>55</v>
      </c>
      <c r="E6" s="2" t="s">
        <v>56</v>
      </c>
      <c r="F6" s="3" t="n">
        <v>44993</v>
      </c>
      <c r="G6" s="2" t="s">
        <v>38</v>
      </c>
      <c r="H6" s="2" t="s">
        <v>39</v>
      </c>
      <c r="I6" s="2" t="s">
        <v>57</v>
      </c>
      <c r="J6" s="2" t="s">
        <v>58</v>
      </c>
      <c r="K6" s="2" t="s">
        <v>59</v>
      </c>
      <c r="L6" s="4" t="n">
        <v>541313</v>
      </c>
      <c r="M6" s="6" t="s">
        <v>33</v>
      </c>
    </row>
    <row r="7" customFormat="false" ht="15" hidden="false" customHeight="false" outlineLevel="0" collapsed="false">
      <c r="A7" s="2" t="s">
        <v>60</v>
      </c>
      <c r="B7" s="2" t="s">
        <v>61</v>
      </c>
      <c r="C7" s="2" t="s">
        <v>62</v>
      </c>
      <c r="D7" s="2" t="s">
        <v>47</v>
      </c>
      <c r="E7" s="2" t="s">
        <v>63</v>
      </c>
      <c r="F7" s="3" t="n">
        <v>42792</v>
      </c>
      <c r="G7" s="2" t="s">
        <v>18</v>
      </c>
      <c r="H7" s="2" t="s">
        <v>29</v>
      </c>
      <c r="I7" s="2" t="s">
        <v>64</v>
      </c>
      <c r="J7" s="2" t="s">
        <v>65</v>
      </c>
      <c r="K7" s="2" t="s">
        <v>32</v>
      </c>
      <c r="L7" s="4" t="n">
        <v>651722</v>
      </c>
      <c r="M7" s="6" t="s">
        <v>33</v>
      </c>
    </row>
    <row r="8" customFormat="false" ht="15" hidden="false" customHeight="false" outlineLevel="0" collapsed="false">
      <c r="A8" s="2" t="s">
        <v>66</v>
      </c>
      <c r="B8" s="2" t="s">
        <v>67</v>
      </c>
      <c r="C8" s="2" t="s">
        <v>15</v>
      </c>
      <c r="D8" s="2" t="s">
        <v>68</v>
      </c>
      <c r="E8" s="2" t="s">
        <v>69</v>
      </c>
      <c r="F8" s="3" t="n">
        <v>43862</v>
      </c>
      <c r="G8" s="2" t="s">
        <v>18</v>
      </c>
      <c r="H8" s="2" t="s">
        <v>19</v>
      </c>
      <c r="I8" s="2" t="s">
        <v>70</v>
      </c>
      <c r="J8" s="2" t="s">
        <v>71</v>
      </c>
      <c r="K8" s="2" t="s">
        <v>72</v>
      </c>
      <c r="L8" s="4" t="n">
        <v>1009842</v>
      </c>
      <c r="M8" s="5" t="s">
        <v>23</v>
      </c>
    </row>
    <row r="9" customFormat="false" ht="15" hidden="false" customHeight="false" outlineLevel="0" collapsed="false">
      <c r="A9" s="2" t="s">
        <v>73</v>
      </c>
      <c r="B9" s="2" t="s">
        <v>74</v>
      </c>
      <c r="C9" s="2" t="s">
        <v>75</v>
      </c>
      <c r="D9" s="2" t="s">
        <v>76</v>
      </c>
      <c r="E9" s="2" t="s">
        <v>77</v>
      </c>
      <c r="F9" s="3" t="n">
        <v>42674</v>
      </c>
      <c r="G9" s="2" t="s">
        <v>38</v>
      </c>
      <c r="H9" s="2" t="s">
        <v>78</v>
      </c>
      <c r="I9" s="2" t="s">
        <v>79</v>
      </c>
      <c r="J9" s="2" t="s">
        <v>80</v>
      </c>
      <c r="K9" s="2" t="s">
        <v>22</v>
      </c>
      <c r="L9" s="4" t="n">
        <v>860795</v>
      </c>
      <c r="M9" s="6" t="s">
        <v>33</v>
      </c>
    </row>
    <row r="10" customFormat="false" ht="15" hidden="false" customHeight="false" outlineLevel="0" collapsed="false">
      <c r="A10" s="2" t="s">
        <v>81</v>
      </c>
      <c r="B10" s="2" t="s">
        <v>67</v>
      </c>
      <c r="C10" s="2" t="s">
        <v>82</v>
      </c>
      <c r="D10" s="2" t="s">
        <v>16</v>
      </c>
      <c r="E10" s="2" t="s">
        <v>83</v>
      </c>
      <c r="F10" s="3" t="n">
        <v>45371</v>
      </c>
      <c r="G10" s="2" t="s">
        <v>18</v>
      </c>
      <c r="H10" s="2" t="s">
        <v>49</v>
      </c>
      <c r="I10" s="2" t="s">
        <v>84</v>
      </c>
      <c r="J10" s="2" t="s">
        <v>85</v>
      </c>
      <c r="K10" s="2" t="s">
        <v>72</v>
      </c>
      <c r="L10" s="4" t="n">
        <v>934701</v>
      </c>
      <c r="M10" s="6" t="s">
        <v>33</v>
      </c>
    </row>
    <row r="11" customFormat="false" ht="15" hidden="false" customHeight="false" outlineLevel="0" collapsed="false">
      <c r="A11" s="2" t="s">
        <v>86</v>
      </c>
      <c r="B11" s="2" t="s">
        <v>87</v>
      </c>
      <c r="C11" s="2" t="s">
        <v>82</v>
      </c>
      <c r="D11" s="2" t="s">
        <v>36</v>
      </c>
      <c r="E11" s="2" t="s">
        <v>37</v>
      </c>
      <c r="F11" s="3" t="n">
        <v>43625</v>
      </c>
      <c r="G11" s="2" t="s">
        <v>38</v>
      </c>
      <c r="H11" s="2" t="s">
        <v>19</v>
      </c>
      <c r="I11" s="2" t="s">
        <v>88</v>
      </c>
      <c r="J11" s="2" t="s">
        <v>89</v>
      </c>
      <c r="K11" s="2" t="s">
        <v>32</v>
      </c>
      <c r="L11" s="4" t="n">
        <v>629303</v>
      </c>
      <c r="M11" s="5" t="s">
        <v>23</v>
      </c>
    </row>
    <row r="12" customFormat="false" ht="15" hidden="false" customHeight="false" outlineLevel="0" collapsed="false">
      <c r="A12" s="2" t="s">
        <v>90</v>
      </c>
      <c r="B12" s="2" t="s">
        <v>91</v>
      </c>
      <c r="C12" s="2" t="s">
        <v>26</v>
      </c>
      <c r="D12" s="2" t="s">
        <v>55</v>
      </c>
      <c r="E12" s="2" t="s">
        <v>92</v>
      </c>
      <c r="F12" s="3" t="n">
        <v>44395</v>
      </c>
      <c r="G12" s="2" t="s">
        <v>38</v>
      </c>
      <c r="H12" s="2" t="s">
        <v>49</v>
      </c>
      <c r="I12" s="2" t="s">
        <v>93</v>
      </c>
      <c r="J12" s="2" t="s">
        <v>94</v>
      </c>
      <c r="K12" s="2" t="s">
        <v>32</v>
      </c>
      <c r="L12" s="4" t="n">
        <v>767138</v>
      </c>
      <c r="M12" s="6" t="s">
        <v>33</v>
      </c>
    </row>
    <row r="13" customFormat="false" ht="15" hidden="false" customHeight="false" outlineLevel="0" collapsed="false">
      <c r="A13" s="2" t="s">
        <v>95</v>
      </c>
      <c r="B13" s="2" t="s">
        <v>96</v>
      </c>
      <c r="C13" s="2" t="s">
        <v>97</v>
      </c>
      <c r="D13" s="2" t="s">
        <v>27</v>
      </c>
      <c r="E13" s="2" t="s">
        <v>98</v>
      </c>
      <c r="F13" s="3" t="n">
        <v>44575</v>
      </c>
      <c r="G13" s="2" t="s">
        <v>18</v>
      </c>
      <c r="H13" s="2" t="s">
        <v>99</v>
      </c>
      <c r="I13" s="2" t="s">
        <v>100</v>
      </c>
      <c r="J13" s="2" t="s">
        <v>101</v>
      </c>
      <c r="K13" s="2" t="s">
        <v>102</v>
      </c>
      <c r="L13" s="4" t="n">
        <v>933306</v>
      </c>
      <c r="M13" s="6" t="s">
        <v>33</v>
      </c>
    </row>
    <row r="14" customFormat="false" ht="15" hidden="false" customHeight="false" outlineLevel="0" collapsed="false">
      <c r="A14" s="2" t="s">
        <v>103</v>
      </c>
      <c r="B14" s="2" t="s">
        <v>104</v>
      </c>
      <c r="C14" s="2" t="s">
        <v>62</v>
      </c>
      <c r="D14" s="2" t="s">
        <v>105</v>
      </c>
      <c r="E14" s="2" t="s">
        <v>106</v>
      </c>
      <c r="F14" s="3" t="n">
        <v>43034</v>
      </c>
      <c r="G14" s="2" t="s">
        <v>107</v>
      </c>
      <c r="H14" s="2" t="s">
        <v>29</v>
      </c>
      <c r="I14" s="2" t="s">
        <v>108</v>
      </c>
      <c r="J14" s="2" t="s">
        <v>109</v>
      </c>
      <c r="K14" s="2" t="s">
        <v>22</v>
      </c>
      <c r="L14" s="4" t="n">
        <v>1420116</v>
      </c>
      <c r="M14" s="5" t="s">
        <v>23</v>
      </c>
    </row>
    <row r="15" customFormat="false" ht="15" hidden="false" customHeight="false" outlineLevel="0" collapsed="false">
      <c r="A15" s="2" t="s">
        <v>110</v>
      </c>
      <c r="B15" s="2" t="s">
        <v>111</v>
      </c>
      <c r="C15" s="2" t="s">
        <v>112</v>
      </c>
      <c r="D15" s="2" t="s">
        <v>47</v>
      </c>
      <c r="E15" s="2" t="s">
        <v>113</v>
      </c>
      <c r="F15" s="3" t="n">
        <v>43207</v>
      </c>
      <c r="G15" s="2" t="s">
        <v>38</v>
      </c>
      <c r="H15" s="2" t="s">
        <v>19</v>
      </c>
      <c r="I15" s="2" t="s">
        <v>114</v>
      </c>
      <c r="J15" s="2" t="s">
        <v>115</v>
      </c>
      <c r="K15" s="2" t="s">
        <v>42</v>
      </c>
      <c r="L15" s="4" t="n">
        <v>878584</v>
      </c>
      <c r="M15" s="5" t="s">
        <v>23</v>
      </c>
    </row>
    <row r="16" customFormat="false" ht="15" hidden="false" customHeight="false" outlineLevel="0" collapsed="false">
      <c r="A16" s="2" t="s">
        <v>116</v>
      </c>
      <c r="B16" s="2" t="s">
        <v>117</v>
      </c>
      <c r="C16" s="2" t="s">
        <v>118</v>
      </c>
      <c r="D16" s="2" t="s">
        <v>76</v>
      </c>
      <c r="E16" s="2" t="s">
        <v>119</v>
      </c>
      <c r="F16" s="3" t="n">
        <v>45570</v>
      </c>
      <c r="G16" s="2" t="s">
        <v>18</v>
      </c>
      <c r="H16" s="2" t="s">
        <v>99</v>
      </c>
      <c r="I16" s="2" t="s">
        <v>120</v>
      </c>
      <c r="J16" s="2" t="s">
        <v>121</v>
      </c>
      <c r="K16" s="2" t="s">
        <v>102</v>
      </c>
      <c r="L16" s="4" t="n">
        <v>604286</v>
      </c>
      <c r="M16" s="6" t="s">
        <v>33</v>
      </c>
    </row>
    <row r="17" customFormat="false" ht="15" hidden="false" customHeight="false" outlineLevel="0" collapsed="false">
      <c r="A17" s="2" t="s">
        <v>122</v>
      </c>
      <c r="B17" s="2" t="s">
        <v>123</v>
      </c>
      <c r="C17" s="2" t="s">
        <v>124</v>
      </c>
      <c r="D17" s="2" t="s">
        <v>16</v>
      </c>
      <c r="E17" s="2" t="s">
        <v>125</v>
      </c>
      <c r="F17" s="3" t="n">
        <v>43332</v>
      </c>
      <c r="G17" s="2" t="s">
        <v>38</v>
      </c>
      <c r="H17" s="2" t="s">
        <v>29</v>
      </c>
      <c r="I17" s="2" t="s">
        <v>126</v>
      </c>
      <c r="J17" s="2" t="s">
        <v>127</v>
      </c>
      <c r="K17" s="2" t="s">
        <v>72</v>
      </c>
      <c r="L17" s="4" t="n">
        <v>1622451</v>
      </c>
      <c r="M17" s="6" t="s">
        <v>33</v>
      </c>
    </row>
    <row r="18" customFormat="false" ht="15" hidden="false" customHeight="false" outlineLevel="0" collapsed="false">
      <c r="A18" s="2" t="s">
        <v>128</v>
      </c>
      <c r="B18" s="2" t="s">
        <v>129</v>
      </c>
      <c r="C18" s="2" t="s">
        <v>130</v>
      </c>
      <c r="D18" s="2" t="s">
        <v>27</v>
      </c>
      <c r="E18" s="2" t="s">
        <v>131</v>
      </c>
      <c r="F18" s="3" t="n">
        <v>45002</v>
      </c>
      <c r="G18" s="2" t="s">
        <v>38</v>
      </c>
      <c r="H18" s="2" t="s">
        <v>29</v>
      </c>
      <c r="I18" s="2" t="s">
        <v>132</v>
      </c>
      <c r="J18" s="2" t="s">
        <v>133</v>
      </c>
      <c r="K18" s="2" t="s">
        <v>102</v>
      </c>
      <c r="L18" s="4" t="n">
        <v>565934</v>
      </c>
      <c r="M18" s="6" t="s">
        <v>33</v>
      </c>
    </row>
    <row r="19" customFormat="false" ht="15" hidden="false" customHeight="false" outlineLevel="0" collapsed="false">
      <c r="A19" s="2" t="s">
        <v>134</v>
      </c>
      <c r="B19" s="2" t="s">
        <v>135</v>
      </c>
      <c r="C19" s="2" t="s">
        <v>136</v>
      </c>
      <c r="D19" s="2" t="s">
        <v>76</v>
      </c>
      <c r="E19" s="2" t="s">
        <v>137</v>
      </c>
      <c r="F19" s="3" t="n">
        <v>44166</v>
      </c>
      <c r="G19" s="2" t="s">
        <v>107</v>
      </c>
      <c r="H19" s="2" t="s">
        <v>78</v>
      </c>
      <c r="I19" s="2" t="s">
        <v>138</v>
      </c>
      <c r="J19" s="2" t="s">
        <v>139</v>
      </c>
      <c r="K19" s="2" t="s">
        <v>102</v>
      </c>
      <c r="L19" s="4" t="n">
        <v>1510922</v>
      </c>
      <c r="M19" s="5" t="s">
        <v>23</v>
      </c>
    </row>
    <row r="20" customFormat="false" ht="15" hidden="false" customHeight="false" outlineLevel="0" collapsed="false">
      <c r="A20" s="2" t="s">
        <v>140</v>
      </c>
      <c r="B20" s="2" t="s">
        <v>141</v>
      </c>
      <c r="C20" s="2" t="s">
        <v>142</v>
      </c>
      <c r="D20" s="2" t="s">
        <v>47</v>
      </c>
      <c r="E20" s="2" t="s">
        <v>48</v>
      </c>
      <c r="F20" s="3" t="n">
        <v>44124</v>
      </c>
      <c r="G20" s="2" t="s">
        <v>38</v>
      </c>
      <c r="H20" s="2" t="s">
        <v>29</v>
      </c>
      <c r="I20" s="2" t="s">
        <v>143</v>
      </c>
      <c r="J20" s="2" t="s">
        <v>144</v>
      </c>
      <c r="K20" s="2" t="s">
        <v>32</v>
      </c>
      <c r="L20" s="4" t="n">
        <v>1367136</v>
      </c>
      <c r="M20" s="6" t="s">
        <v>33</v>
      </c>
    </row>
    <row r="21" customFormat="false" ht="15" hidden="false" customHeight="false" outlineLevel="0" collapsed="false">
      <c r="A21" s="2" t="s">
        <v>145</v>
      </c>
      <c r="B21" s="2" t="s">
        <v>35</v>
      </c>
      <c r="C21" s="2" t="s">
        <v>146</v>
      </c>
      <c r="D21" s="2" t="s">
        <v>36</v>
      </c>
      <c r="E21" s="2" t="s">
        <v>147</v>
      </c>
      <c r="F21" s="3" t="n">
        <v>42034</v>
      </c>
      <c r="G21" s="2" t="s">
        <v>18</v>
      </c>
      <c r="H21" s="2" t="s">
        <v>99</v>
      </c>
      <c r="I21" s="2" t="s">
        <v>148</v>
      </c>
      <c r="J21" s="2" t="s">
        <v>149</v>
      </c>
      <c r="K21" s="2" t="s">
        <v>42</v>
      </c>
      <c r="L21" s="4" t="n">
        <v>620031</v>
      </c>
      <c r="M21" s="6" t="s">
        <v>33</v>
      </c>
    </row>
    <row r="22" customFormat="false" ht="15" hidden="false" customHeight="false" outlineLevel="0" collapsed="false">
      <c r="A22" s="2" t="s">
        <v>150</v>
      </c>
      <c r="B22" s="2" t="s">
        <v>151</v>
      </c>
      <c r="C22" s="2" t="s">
        <v>82</v>
      </c>
      <c r="D22" s="2" t="s">
        <v>27</v>
      </c>
      <c r="E22" s="2" t="s">
        <v>98</v>
      </c>
      <c r="F22" s="3" t="n">
        <v>43145</v>
      </c>
      <c r="G22" s="2" t="s">
        <v>38</v>
      </c>
      <c r="H22" s="2" t="s">
        <v>19</v>
      </c>
      <c r="I22" s="2" t="s">
        <v>152</v>
      </c>
      <c r="J22" s="2" t="s">
        <v>153</v>
      </c>
      <c r="K22" s="2" t="s">
        <v>32</v>
      </c>
      <c r="L22" s="4" t="n">
        <v>1279245</v>
      </c>
      <c r="M22" s="6" t="s">
        <v>33</v>
      </c>
    </row>
    <row r="23" customFormat="false" ht="15" hidden="false" customHeight="false" outlineLevel="0" collapsed="false">
      <c r="A23" s="2" t="s">
        <v>154</v>
      </c>
      <c r="B23" s="2" t="s">
        <v>87</v>
      </c>
      <c r="C23" s="2" t="s">
        <v>136</v>
      </c>
      <c r="D23" s="2" t="s">
        <v>36</v>
      </c>
      <c r="E23" s="2" t="s">
        <v>37</v>
      </c>
      <c r="F23" s="3" t="n">
        <v>45312</v>
      </c>
      <c r="G23" s="2" t="s">
        <v>38</v>
      </c>
      <c r="H23" s="2" t="s">
        <v>19</v>
      </c>
      <c r="I23" s="2" t="s">
        <v>155</v>
      </c>
      <c r="J23" s="2" t="s">
        <v>156</v>
      </c>
      <c r="K23" s="2" t="s">
        <v>42</v>
      </c>
      <c r="L23" s="4" t="n">
        <v>845496</v>
      </c>
      <c r="M23" s="6" t="s">
        <v>33</v>
      </c>
    </row>
    <row r="24" customFormat="false" ht="15" hidden="false" customHeight="false" outlineLevel="0" collapsed="false">
      <c r="A24" s="2" t="s">
        <v>157</v>
      </c>
      <c r="B24" s="2" t="s">
        <v>53</v>
      </c>
      <c r="C24" s="2" t="s">
        <v>46</v>
      </c>
      <c r="D24" s="2" t="s">
        <v>68</v>
      </c>
      <c r="E24" s="2" t="s">
        <v>69</v>
      </c>
      <c r="F24" s="3" t="n">
        <v>45543</v>
      </c>
      <c r="G24" s="2" t="s">
        <v>18</v>
      </c>
      <c r="H24" s="2" t="s">
        <v>99</v>
      </c>
      <c r="I24" s="2" t="s">
        <v>158</v>
      </c>
      <c r="J24" s="2" t="s">
        <v>159</v>
      </c>
      <c r="K24" s="2" t="s">
        <v>22</v>
      </c>
      <c r="L24" s="4" t="n">
        <v>951599</v>
      </c>
      <c r="M24" s="6" t="s">
        <v>33</v>
      </c>
    </row>
    <row r="25" customFormat="false" ht="15" hidden="false" customHeight="false" outlineLevel="0" collapsed="false">
      <c r="A25" s="2" t="s">
        <v>160</v>
      </c>
      <c r="B25" s="2" t="s">
        <v>161</v>
      </c>
      <c r="C25" s="2" t="s">
        <v>82</v>
      </c>
      <c r="D25" s="2" t="s">
        <v>27</v>
      </c>
      <c r="E25" s="2" t="s">
        <v>98</v>
      </c>
      <c r="F25" s="3" t="n">
        <v>42789</v>
      </c>
      <c r="G25" s="2" t="s">
        <v>18</v>
      </c>
      <c r="H25" s="2" t="s">
        <v>39</v>
      </c>
      <c r="I25" s="2" t="s">
        <v>162</v>
      </c>
      <c r="J25" s="2" t="s">
        <v>163</v>
      </c>
      <c r="K25" s="2" t="s">
        <v>32</v>
      </c>
      <c r="L25" s="4" t="n">
        <v>1121187</v>
      </c>
      <c r="M25" s="6" t="s">
        <v>33</v>
      </c>
    </row>
    <row r="26" customFormat="false" ht="15" hidden="false" customHeight="false" outlineLevel="0" collapsed="false">
      <c r="A26" s="2" t="s">
        <v>164</v>
      </c>
      <c r="B26" s="2" t="s">
        <v>74</v>
      </c>
      <c r="C26" s="2" t="s">
        <v>165</v>
      </c>
      <c r="D26" s="2" t="s">
        <v>36</v>
      </c>
      <c r="E26" s="2" t="s">
        <v>166</v>
      </c>
      <c r="F26" s="3" t="n">
        <v>43820</v>
      </c>
      <c r="G26" s="2" t="s">
        <v>107</v>
      </c>
      <c r="H26" s="2" t="s">
        <v>29</v>
      </c>
      <c r="I26" s="2" t="s">
        <v>167</v>
      </c>
      <c r="J26" s="2" t="s">
        <v>168</v>
      </c>
      <c r="K26" s="2" t="s">
        <v>22</v>
      </c>
      <c r="L26" s="4" t="n">
        <v>783423</v>
      </c>
      <c r="M26" s="7" t="s">
        <v>43</v>
      </c>
    </row>
    <row r="27" customFormat="false" ht="15" hidden="false" customHeight="false" outlineLevel="0" collapsed="false">
      <c r="A27" s="2" t="s">
        <v>169</v>
      </c>
      <c r="B27" s="2" t="s">
        <v>170</v>
      </c>
      <c r="C27" s="2" t="s">
        <v>75</v>
      </c>
      <c r="D27" s="2" t="s">
        <v>36</v>
      </c>
      <c r="E27" s="2" t="s">
        <v>147</v>
      </c>
      <c r="F27" s="3" t="n">
        <v>43669</v>
      </c>
      <c r="G27" s="2" t="s">
        <v>38</v>
      </c>
      <c r="H27" s="2" t="s">
        <v>78</v>
      </c>
      <c r="I27" s="2" t="s">
        <v>171</v>
      </c>
      <c r="J27" s="2" t="s">
        <v>172</v>
      </c>
      <c r="K27" s="2" t="s">
        <v>59</v>
      </c>
      <c r="L27" s="4" t="n">
        <v>530741</v>
      </c>
      <c r="M27" s="6" t="s">
        <v>33</v>
      </c>
    </row>
    <row r="28" customFormat="false" ht="15" hidden="false" customHeight="false" outlineLevel="0" collapsed="false">
      <c r="A28" s="2" t="s">
        <v>173</v>
      </c>
      <c r="B28" s="2" t="s">
        <v>104</v>
      </c>
      <c r="C28" s="2" t="s">
        <v>174</v>
      </c>
      <c r="D28" s="2" t="s">
        <v>68</v>
      </c>
      <c r="E28" s="2" t="s">
        <v>69</v>
      </c>
      <c r="F28" s="3" t="n">
        <v>45216</v>
      </c>
      <c r="G28" s="2" t="s">
        <v>38</v>
      </c>
      <c r="H28" s="2" t="s">
        <v>49</v>
      </c>
      <c r="I28" s="2" t="s">
        <v>175</v>
      </c>
      <c r="J28" s="2" t="s">
        <v>176</v>
      </c>
      <c r="K28" s="2" t="s">
        <v>22</v>
      </c>
      <c r="L28" s="4" t="n">
        <v>1282995</v>
      </c>
      <c r="M28" s="7" t="s">
        <v>43</v>
      </c>
    </row>
    <row r="29" customFormat="false" ht="15" hidden="false" customHeight="false" outlineLevel="0" collapsed="false">
      <c r="A29" s="2" t="s">
        <v>177</v>
      </c>
      <c r="B29" s="2" t="s">
        <v>91</v>
      </c>
      <c r="C29" s="2" t="s">
        <v>136</v>
      </c>
      <c r="D29" s="2" t="s">
        <v>76</v>
      </c>
      <c r="E29" s="2" t="s">
        <v>77</v>
      </c>
      <c r="F29" s="3" t="n">
        <v>43220</v>
      </c>
      <c r="G29" s="2" t="s">
        <v>18</v>
      </c>
      <c r="H29" s="2" t="s">
        <v>29</v>
      </c>
      <c r="I29" s="2" t="s">
        <v>178</v>
      </c>
      <c r="J29" s="2" t="s">
        <v>179</v>
      </c>
      <c r="K29" s="2" t="s">
        <v>22</v>
      </c>
      <c r="L29" s="4" t="n">
        <v>784266</v>
      </c>
      <c r="M29" s="6" t="s">
        <v>33</v>
      </c>
    </row>
    <row r="30" customFormat="false" ht="15" hidden="false" customHeight="false" outlineLevel="0" collapsed="false">
      <c r="A30" s="2" t="s">
        <v>180</v>
      </c>
      <c r="B30" s="2" t="s">
        <v>25</v>
      </c>
      <c r="C30" s="2" t="s">
        <v>82</v>
      </c>
      <c r="D30" s="2" t="s">
        <v>16</v>
      </c>
      <c r="E30" s="2" t="s">
        <v>181</v>
      </c>
      <c r="F30" s="3" t="n">
        <v>44397</v>
      </c>
      <c r="G30" s="2" t="s">
        <v>38</v>
      </c>
      <c r="H30" s="2" t="s">
        <v>39</v>
      </c>
      <c r="I30" s="2" t="s">
        <v>182</v>
      </c>
      <c r="J30" s="2" t="s">
        <v>183</v>
      </c>
      <c r="K30" s="2" t="s">
        <v>32</v>
      </c>
      <c r="L30" s="4" t="n">
        <v>529821</v>
      </c>
      <c r="M30" s="6" t="s">
        <v>33</v>
      </c>
    </row>
    <row r="31" customFormat="false" ht="15" hidden="false" customHeight="false" outlineLevel="0" collapsed="false">
      <c r="A31" s="2" t="s">
        <v>184</v>
      </c>
      <c r="B31" s="2" t="s">
        <v>96</v>
      </c>
      <c r="C31" s="2" t="s">
        <v>124</v>
      </c>
      <c r="D31" s="2" t="s">
        <v>27</v>
      </c>
      <c r="E31" s="2" t="s">
        <v>131</v>
      </c>
      <c r="F31" s="3" t="n">
        <v>44770</v>
      </c>
      <c r="G31" s="2" t="s">
        <v>18</v>
      </c>
      <c r="H31" s="2" t="s">
        <v>78</v>
      </c>
      <c r="I31" s="2" t="s">
        <v>185</v>
      </c>
      <c r="J31" s="2" t="s">
        <v>186</v>
      </c>
      <c r="K31" s="2" t="s">
        <v>102</v>
      </c>
      <c r="L31" s="4" t="n">
        <v>629087</v>
      </c>
      <c r="M31" s="6" t="s">
        <v>33</v>
      </c>
    </row>
    <row r="32" customFormat="false" ht="15" hidden="false" customHeight="false" outlineLevel="0" collapsed="false">
      <c r="A32" s="2" t="s">
        <v>187</v>
      </c>
      <c r="B32" s="2" t="s">
        <v>188</v>
      </c>
      <c r="C32" s="2" t="s">
        <v>97</v>
      </c>
      <c r="D32" s="2" t="s">
        <v>27</v>
      </c>
      <c r="E32" s="2" t="s">
        <v>28</v>
      </c>
      <c r="F32" s="3" t="n">
        <v>44697</v>
      </c>
      <c r="G32" s="2" t="s">
        <v>107</v>
      </c>
      <c r="H32" s="2" t="s">
        <v>39</v>
      </c>
      <c r="I32" s="2" t="s">
        <v>189</v>
      </c>
      <c r="J32" s="2" t="s">
        <v>190</v>
      </c>
      <c r="K32" s="2" t="s">
        <v>72</v>
      </c>
      <c r="L32" s="4" t="n">
        <v>3180110</v>
      </c>
      <c r="M32" s="6" t="s">
        <v>33</v>
      </c>
    </row>
    <row r="33" customFormat="false" ht="15" hidden="false" customHeight="false" outlineLevel="0" collapsed="false">
      <c r="A33" s="2" t="s">
        <v>191</v>
      </c>
      <c r="B33" s="2" t="s">
        <v>192</v>
      </c>
      <c r="C33" s="2" t="s">
        <v>82</v>
      </c>
      <c r="D33" s="2" t="s">
        <v>36</v>
      </c>
      <c r="E33" s="2" t="s">
        <v>193</v>
      </c>
      <c r="F33" s="3" t="n">
        <v>43626</v>
      </c>
      <c r="G33" s="2" t="s">
        <v>18</v>
      </c>
      <c r="H33" s="2" t="s">
        <v>99</v>
      </c>
      <c r="I33" s="2" t="s">
        <v>194</v>
      </c>
      <c r="J33" s="2" t="s">
        <v>195</v>
      </c>
      <c r="K33" s="2" t="s">
        <v>72</v>
      </c>
      <c r="L33" s="4" t="n">
        <v>1779434</v>
      </c>
      <c r="M33" s="6" t="s">
        <v>33</v>
      </c>
    </row>
    <row r="34" customFormat="false" ht="15" hidden="false" customHeight="false" outlineLevel="0" collapsed="false">
      <c r="A34" s="2" t="s">
        <v>196</v>
      </c>
      <c r="B34" s="2" t="s">
        <v>197</v>
      </c>
      <c r="C34" s="2" t="s">
        <v>75</v>
      </c>
      <c r="D34" s="2" t="s">
        <v>16</v>
      </c>
      <c r="E34" s="2" t="s">
        <v>198</v>
      </c>
      <c r="F34" s="3" t="n">
        <v>44549</v>
      </c>
      <c r="G34" s="2" t="s">
        <v>107</v>
      </c>
      <c r="H34" s="2" t="s">
        <v>29</v>
      </c>
      <c r="I34" s="2" t="s">
        <v>199</v>
      </c>
      <c r="J34" s="2" t="s">
        <v>200</v>
      </c>
      <c r="K34" s="2" t="s">
        <v>102</v>
      </c>
      <c r="L34" s="4" t="n">
        <v>611754</v>
      </c>
      <c r="M34" s="6" t="s">
        <v>33</v>
      </c>
    </row>
    <row r="35" customFormat="false" ht="15" hidden="false" customHeight="false" outlineLevel="0" collapsed="false">
      <c r="A35" s="2" t="s">
        <v>201</v>
      </c>
      <c r="B35" s="2" t="s">
        <v>117</v>
      </c>
      <c r="C35" s="2" t="s">
        <v>202</v>
      </c>
      <c r="D35" s="2" t="s">
        <v>47</v>
      </c>
      <c r="E35" s="2" t="s">
        <v>113</v>
      </c>
      <c r="F35" s="3" t="n">
        <v>45606</v>
      </c>
      <c r="G35" s="2" t="s">
        <v>18</v>
      </c>
      <c r="H35" s="2" t="s">
        <v>49</v>
      </c>
      <c r="I35" s="2" t="s">
        <v>203</v>
      </c>
      <c r="J35" s="2" t="s">
        <v>204</v>
      </c>
      <c r="K35" s="2" t="s">
        <v>32</v>
      </c>
      <c r="L35" s="4" t="n">
        <v>729734</v>
      </c>
      <c r="M35" s="7" t="s">
        <v>43</v>
      </c>
    </row>
    <row r="36" customFormat="false" ht="15" hidden="false" customHeight="false" outlineLevel="0" collapsed="false">
      <c r="A36" s="2" t="s">
        <v>205</v>
      </c>
      <c r="B36" s="2" t="s">
        <v>111</v>
      </c>
      <c r="C36" s="2" t="s">
        <v>206</v>
      </c>
      <c r="D36" s="2" t="s">
        <v>16</v>
      </c>
      <c r="E36" s="2" t="s">
        <v>17</v>
      </c>
      <c r="F36" s="3" t="n">
        <v>45351</v>
      </c>
      <c r="G36" s="2" t="s">
        <v>107</v>
      </c>
      <c r="H36" s="2" t="s">
        <v>49</v>
      </c>
      <c r="I36" s="2" t="s">
        <v>207</v>
      </c>
      <c r="J36" s="2" t="s">
        <v>208</v>
      </c>
      <c r="K36" s="2" t="s">
        <v>42</v>
      </c>
      <c r="L36" s="4" t="n">
        <v>3184539</v>
      </c>
      <c r="M36" s="6" t="s">
        <v>33</v>
      </c>
    </row>
    <row r="37" customFormat="false" ht="15" hidden="false" customHeight="false" outlineLevel="0" collapsed="false">
      <c r="A37" s="2" t="s">
        <v>209</v>
      </c>
      <c r="B37" s="2" t="s">
        <v>117</v>
      </c>
      <c r="C37" s="2" t="s">
        <v>15</v>
      </c>
      <c r="D37" s="2" t="s">
        <v>27</v>
      </c>
      <c r="E37" s="2" t="s">
        <v>98</v>
      </c>
      <c r="F37" s="3" t="n">
        <v>43120</v>
      </c>
      <c r="G37" s="2" t="s">
        <v>18</v>
      </c>
      <c r="H37" s="2" t="s">
        <v>39</v>
      </c>
      <c r="I37" s="2" t="s">
        <v>210</v>
      </c>
      <c r="J37" s="2" t="s">
        <v>211</v>
      </c>
      <c r="K37" s="2" t="s">
        <v>22</v>
      </c>
      <c r="L37" s="4" t="n">
        <v>1079768</v>
      </c>
      <c r="M37" s="6" t="s">
        <v>33</v>
      </c>
    </row>
    <row r="38" customFormat="false" ht="15" hidden="false" customHeight="false" outlineLevel="0" collapsed="false">
      <c r="A38" s="2" t="s">
        <v>212</v>
      </c>
      <c r="B38" s="2" t="s">
        <v>213</v>
      </c>
      <c r="C38" s="2" t="s">
        <v>112</v>
      </c>
      <c r="D38" s="2" t="s">
        <v>105</v>
      </c>
      <c r="E38" s="2" t="s">
        <v>214</v>
      </c>
      <c r="F38" s="3" t="n">
        <v>45470</v>
      </c>
      <c r="G38" s="2" t="s">
        <v>18</v>
      </c>
      <c r="H38" s="2" t="s">
        <v>29</v>
      </c>
      <c r="I38" s="2" t="s">
        <v>215</v>
      </c>
      <c r="J38" s="2" t="s">
        <v>216</v>
      </c>
      <c r="K38" s="2" t="s">
        <v>59</v>
      </c>
      <c r="L38" s="4" t="n">
        <v>1590120</v>
      </c>
      <c r="M38" s="6" t="s">
        <v>33</v>
      </c>
    </row>
    <row r="39" customFormat="false" ht="15" hidden="false" customHeight="false" outlineLevel="0" collapsed="false">
      <c r="A39" s="2" t="s">
        <v>217</v>
      </c>
      <c r="B39" s="2" t="s">
        <v>170</v>
      </c>
      <c r="C39" s="2" t="s">
        <v>82</v>
      </c>
      <c r="D39" s="2" t="s">
        <v>76</v>
      </c>
      <c r="E39" s="2" t="s">
        <v>137</v>
      </c>
      <c r="F39" s="3" t="n">
        <v>42666</v>
      </c>
      <c r="G39" s="2" t="s">
        <v>38</v>
      </c>
      <c r="H39" s="2" t="s">
        <v>39</v>
      </c>
      <c r="I39" s="2" t="s">
        <v>218</v>
      </c>
      <c r="J39" s="2" t="s">
        <v>219</v>
      </c>
      <c r="K39" s="2" t="s">
        <v>59</v>
      </c>
      <c r="L39" s="4" t="n">
        <v>1888153</v>
      </c>
      <c r="M39" s="6" t="s">
        <v>33</v>
      </c>
    </row>
    <row r="40" customFormat="false" ht="15" hidden="false" customHeight="false" outlineLevel="0" collapsed="false">
      <c r="A40" s="2" t="s">
        <v>220</v>
      </c>
      <c r="B40" s="2" t="s">
        <v>221</v>
      </c>
      <c r="C40" s="2" t="s">
        <v>75</v>
      </c>
      <c r="D40" s="2" t="s">
        <v>76</v>
      </c>
      <c r="E40" s="2" t="s">
        <v>119</v>
      </c>
      <c r="F40" s="3" t="n">
        <v>45423</v>
      </c>
      <c r="G40" s="2" t="s">
        <v>18</v>
      </c>
      <c r="H40" s="2" t="s">
        <v>39</v>
      </c>
      <c r="I40" s="2" t="s">
        <v>222</v>
      </c>
      <c r="J40" s="2" t="s">
        <v>223</v>
      </c>
      <c r="K40" s="2" t="s">
        <v>32</v>
      </c>
      <c r="L40" s="4" t="n">
        <v>725332</v>
      </c>
      <c r="M40" s="6" t="s">
        <v>33</v>
      </c>
    </row>
    <row r="41" customFormat="false" ht="15" hidden="false" customHeight="false" outlineLevel="0" collapsed="false">
      <c r="A41" s="2" t="s">
        <v>224</v>
      </c>
      <c r="B41" s="2" t="s">
        <v>151</v>
      </c>
      <c r="C41" s="2" t="s">
        <v>206</v>
      </c>
      <c r="D41" s="2" t="s">
        <v>47</v>
      </c>
      <c r="E41" s="2" t="s">
        <v>113</v>
      </c>
      <c r="F41" s="3" t="n">
        <v>43470</v>
      </c>
      <c r="G41" s="2" t="s">
        <v>18</v>
      </c>
      <c r="H41" s="2" t="s">
        <v>99</v>
      </c>
      <c r="I41" s="2" t="s">
        <v>225</v>
      </c>
      <c r="J41" s="2" t="s">
        <v>226</v>
      </c>
      <c r="K41" s="2" t="s">
        <v>22</v>
      </c>
      <c r="L41" s="4" t="n">
        <v>553893</v>
      </c>
      <c r="M41" s="6" t="s">
        <v>33</v>
      </c>
    </row>
    <row r="42" customFormat="false" ht="15" hidden="false" customHeight="false" outlineLevel="0" collapsed="false">
      <c r="A42" s="2" t="s">
        <v>227</v>
      </c>
      <c r="B42" s="2" t="s">
        <v>228</v>
      </c>
      <c r="C42" s="2" t="s">
        <v>26</v>
      </c>
      <c r="D42" s="2" t="s">
        <v>68</v>
      </c>
      <c r="E42" s="2" t="s">
        <v>229</v>
      </c>
      <c r="F42" s="3" t="n">
        <v>45074</v>
      </c>
      <c r="G42" s="2" t="s">
        <v>18</v>
      </c>
      <c r="H42" s="2" t="s">
        <v>19</v>
      </c>
      <c r="I42" s="2" t="s">
        <v>230</v>
      </c>
      <c r="J42" s="2" t="s">
        <v>231</v>
      </c>
      <c r="K42" s="2" t="s">
        <v>32</v>
      </c>
      <c r="L42" s="4" t="n">
        <v>1362115</v>
      </c>
      <c r="M42" s="6" t="s">
        <v>33</v>
      </c>
    </row>
    <row r="43" customFormat="false" ht="15" hidden="false" customHeight="false" outlineLevel="0" collapsed="false">
      <c r="A43" s="2" t="s">
        <v>232</v>
      </c>
      <c r="B43" s="2" t="s">
        <v>35</v>
      </c>
      <c r="C43" s="2" t="s">
        <v>124</v>
      </c>
      <c r="D43" s="2" t="s">
        <v>47</v>
      </c>
      <c r="E43" s="2" t="s">
        <v>48</v>
      </c>
      <c r="F43" s="3" t="n">
        <v>45290</v>
      </c>
      <c r="G43" s="2" t="s">
        <v>18</v>
      </c>
      <c r="H43" s="2" t="s">
        <v>49</v>
      </c>
      <c r="I43" s="2" t="s">
        <v>233</v>
      </c>
      <c r="J43" s="2" t="s">
        <v>234</v>
      </c>
      <c r="K43" s="2" t="s">
        <v>22</v>
      </c>
      <c r="L43" s="4" t="n">
        <v>1413346</v>
      </c>
      <c r="M43" s="6" t="s">
        <v>33</v>
      </c>
    </row>
    <row r="44" customFormat="false" ht="15" hidden="false" customHeight="false" outlineLevel="0" collapsed="false">
      <c r="A44" s="2" t="s">
        <v>235</v>
      </c>
      <c r="B44" s="2" t="s">
        <v>151</v>
      </c>
      <c r="C44" s="2" t="s">
        <v>136</v>
      </c>
      <c r="D44" s="2" t="s">
        <v>36</v>
      </c>
      <c r="E44" s="2" t="s">
        <v>147</v>
      </c>
      <c r="F44" s="3" t="n">
        <v>45349</v>
      </c>
      <c r="G44" s="2" t="s">
        <v>38</v>
      </c>
      <c r="H44" s="2" t="s">
        <v>49</v>
      </c>
      <c r="I44" s="2" t="s">
        <v>236</v>
      </c>
      <c r="J44" s="2" t="s">
        <v>237</v>
      </c>
      <c r="K44" s="2" t="s">
        <v>32</v>
      </c>
      <c r="L44" s="4" t="n">
        <v>616876</v>
      </c>
      <c r="M44" s="6" t="s">
        <v>33</v>
      </c>
    </row>
    <row r="45" customFormat="false" ht="15" hidden="false" customHeight="false" outlineLevel="0" collapsed="false">
      <c r="A45" s="2" t="s">
        <v>238</v>
      </c>
      <c r="B45" s="2" t="s">
        <v>135</v>
      </c>
      <c r="C45" s="2" t="s">
        <v>239</v>
      </c>
      <c r="D45" s="2" t="s">
        <v>68</v>
      </c>
      <c r="E45" s="2" t="s">
        <v>69</v>
      </c>
      <c r="F45" s="3" t="n">
        <v>43146</v>
      </c>
      <c r="G45" s="2" t="s">
        <v>18</v>
      </c>
      <c r="H45" s="2" t="s">
        <v>49</v>
      </c>
      <c r="I45" s="2" t="s">
        <v>240</v>
      </c>
      <c r="J45" s="2" t="s">
        <v>241</v>
      </c>
      <c r="K45" s="2" t="s">
        <v>22</v>
      </c>
      <c r="L45" s="4" t="n">
        <v>1167075</v>
      </c>
      <c r="M45" s="6" t="s">
        <v>33</v>
      </c>
    </row>
    <row r="46" customFormat="false" ht="15" hidden="false" customHeight="false" outlineLevel="0" collapsed="false">
      <c r="A46" s="2" t="s">
        <v>242</v>
      </c>
      <c r="B46" s="2" t="s">
        <v>213</v>
      </c>
      <c r="C46" s="2" t="s">
        <v>26</v>
      </c>
      <c r="D46" s="2" t="s">
        <v>47</v>
      </c>
      <c r="E46" s="2" t="s">
        <v>113</v>
      </c>
      <c r="F46" s="3" t="n">
        <v>42477</v>
      </c>
      <c r="G46" s="2" t="s">
        <v>18</v>
      </c>
      <c r="H46" s="2" t="s">
        <v>19</v>
      </c>
      <c r="I46" s="2" t="s">
        <v>243</v>
      </c>
      <c r="J46" s="2" t="s">
        <v>244</v>
      </c>
      <c r="K46" s="2" t="s">
        <v>72</v>
      </c>
      <c r="L46" s="4" t="n">
        <v>520057</v>
      </c>
      <c r="M46" s="6" t="s">
        <v>33</v>
      </c>
    </row>
    <row r="47" customFormat="false" ht="15" hidden="false" customHeight="false" outlineLevel="0" collapsed="false">
      <c r="A47" s="2" t="s">
        <v>245</v>
      </c>
      <c r="B47" s="2" t="s">
        <v>188</v>
      </c>
      <c r="C47" s="2" t="s">
        <v>46</v>
      </c>
      <c r="D47" s="2" t="s">
        <v>47</v>
      </c>
      <c r="E47" s="2" t="s">
        <v>63</v>
      </c>
      <c r="F47" s="3" t="n">
        <v>45226</v>
      </c>
      <c r="G47" s="2" t="s">
        <v>18</v>
      </c>
      <c r="H47" s="2" t="s">
        <v>78</v>
      </c>
      <c r="I47" s="2" t="s">
        <v>246</v>
      </c>
      <c r="J47" s="2" t="s">
        <v>247</v>
      </c>
      <c r="K47" s="2" t="s">
        <v>102</v>
      </c>
      <c r="L47" s="4" t="n">
        <v>560631</v>
      </c>
      <c r="M47" s="6" t="s">
        <v>33</v>
      </c>
    </row>
    <row r="48" customFormat="false" ht="15" hidden="false" customHeight="false" outlineLevel="0" collapsed="false">
      <c r="A48" s="2" t="s">
        <v>248</v>
      </c>
      <c r="B48" s="2" t="s">
        <v>87</v>
      </c>
      <c r="C48" s="2" t="s">
        <v>239</v>
      </c>
      <c r="D48" s="2" t="s">
        <v>55</v>
      </c>
      <c r="E48" s="2" t="s">
        <v>56</v>
      </c>
      <c r="F48" s="3" t="n">
        <v>44908</v>
      </c>
      <c r="G48" s="2" t="s">
        <v>38</v>
      </c>
      <c r="H48" s="2" t="s">
        <v>29</v>
      </c>
      <c r="I48" s="2" t="s">
        <v>249</v>
      </c>
      <c r="J48" s="2" t="s">
        <v>250</v>
      </c>
      <c r="K48" s="2" t="s">
        <v>102</v>
      </c>
      <c r="L48" s="4" t="n">
        <v>860110</v>
      </c>
      <c r="M48" s="5" t="s">
        <v>23</v>
      </c>
    </row>
    <row r="49" customFormat="false" ht="15" hidden="false" customHeight="false" outlineLevel="0" collapsed="false">
      <c r="A49" s="2" t="s">
        <v>251</v>
      </c>
      <c r="B49" s="2" t="s">
        <v>25</v>
      </c>
      <c r="C49" s="2" t="s">
        <v>239</v>
      </c>
      <c r="D49" s="2" t="s">
        <v>47</v>
      </c>
      <c r="E49" s="2" t="s">
        <v>48</v>
      </c>
      <c r="F49" s="3" t="n">
        <v>42291</v>
      </c>
      <c r="G49" s="2" t="s">
        <v>18</v>
      </c>
      <c r="H49" s="2" t="s">
        <v>39</v>
      </c>
      <c r="I49" s="2" t="s">
        <v>252</v>
      </c>
      <c r="J49" s="2" t="s">
        <v>253</v>
      </c>
      <c r="K49" s="2" t="s">
        <v>22</v>
      </c>
      <c r="L49" s="4" t="n">
        <v>1430679</v>
      </c>
      <c r="M49" s="5" t="s">
        <v>23</v>
      </c>
    </row>
    <row r="50" customFormat="false" ht="15" hidden="false" customHeight="false" outlineLevel="0" collapsed="false">
      <c r="A50" s="2" t="s">
        <v>254</v>
      </c>
      <c r="B50" s="2" t="s">
        <v>141</v>
      </c>
      <c r="C50" s="2" t="s">
        <v>118</v>
      </c>
      <c r="D50" s="2" t="s">
        <v>55</v>
      </c>
      <c r="E50" s="2" t="s">
        <v>92</v>
      </c>
      <c r="F50" s="3" t="n">
        <v>43341</v>
      </c>
      <c r="G50" s="2" t="s">
        <v>38</v>
      </c>
      <c r="H50" s="2" t="s">
        <v>99</v>
      </c>
      <c r="I50" s="2" t="s">
        <v>255</v>
      </c>
      <c r="J50" s="2" t="s">
        <v>256</v>
      </c>
      <c r="K50" s="2" t="s">
        <v>102</v>
      </c>
      <c r="L50" s="4" t="n">
        <v>566735</v>
      </c>
      <c r="M50" s="6" t="s">
        <v>33</v>
      </c>
    </row>
    <row r="51" customFormat="false" ht="15" hidden="false" customHeight="false" outlineLevel="0" collapsed="false">
      <c r="A51" s="2" t="s">
        <v>257</v>
      </c>
      <c r="B51" s="2" t="s">
        <v>258</v>
      </c>
      <c r="C51" s="2" t="s">
        <v>142</v>
      </c>
      <c r="D51" s="2" t="s">
        <v>76</v>
      </c>
      <c r="E51" s="2" t="s">
        <v>137</v>
      </c>
      <c r="F51" s="3" t="n">
        <v>43668</v>
      </c>
      <c r="G51" s="2" t="s">
        <v>107</v>
      </c>
      <c r="H51" s="2" t="s">
        <v>29</v>
      </c>
      <c r="I51" s="2" t="s">
        <v>259</v>
      </c>
      <c r="J51" s="2" t="s">
        <v>260</v>
      </c>
      <c r="K51" s="2" t="s">
        <v>72</v>
      </c>
      <c r="L51" s="4" t="n">
        <v>1520392</v>
      </c>
      <c r="M51" s="6" t="s">
        <v>33</v>
      </c>
    </row>
    <row r="52" customFormat="false" ht="15" hidden="false" customHeight="false" outlineLevel="0" collapsed="false">
      <c r="A52" s="2" t="s">
        <v>261</v>
      </c>
      <c r="B52" s="2" t="s">
        <v>262</v>
      </c>
      <c r="C52" s="2" t="s">
        <v>62</v>
      </c>
      <c r="D52" s="2" t="s">
        <v>47</v>
      </c>
      <c r="E52" s="2" t="s">
        <v>48</v>
      </c>
      <c r="F52" s="3" t="n">
        <v>43814</v>
      </c>
      <c r="G52" s="2" t="s">
        <v>38</v>
      </c>
      <c r="H52" s="2" t="s">
        <v>99</v>
      </c>
      <c r="I52" s="2" t="s">
        <v>263</v>
      </c>
      <c r="J52" s="2" t="s">
        <v>264</v>
      </c>
      <c r="K52" s="2" t="s">
        <v>102</v>
      </c>
      <c r="L52" s="4" t="n">
        <v>1796171</v>
      </c>
      <c r="M52" s="7" t="s">
        <v>43</v>
      </c>
    </row>
    <row r="53" customFormat="false" ht="15" hidden="false" customHeight="false" outlineLevel="0" collapsed="false">
      <c r="A53" s="2" t="s">
        <v>265</v>
      </c>
      <c r="B53" s="2" t="s">
        <v>25</v>
      </c>
      <c r="C53" s="2" t="s">
        <v>124</v>
      </c>
      <c r="D53" s="2" t="s">
        <v>27</v>
      </c>
      <c r="E53" s="2" t="s">
        <v>266</v>
      </c>
      <c r="F53" s="3" t="n">
        <v>44116</v>
      </c>
      <c r="G53" s="2" t="s">
        <v>107</v>
      </c>
      <c r="H53" s="2" t="s">
        <v>49</v>
      </c>
      <c r="I53" s="2" t="s">
        <v>267</v>
      </c>
      <c r="J53" s="2" t="s">
        <v>268</v>
      </c>
      <c r="K53" s="2" t="s">
        <v>32</v>
      </c>
      <c r="L53" s="4" t="n">
        <v>1625498</v>
      </c>
      <c r="M53" s="6" t="s">
        <v>33</v>
      </c>
    </row>
    <row r="54" customFormat="false" ht="15" hidden="false" customHeight="false" outlineLevel="0" collapsed="false">
      <c r="A54" s="2" t="s">
        <v>269</v>
      </c>
      <c r="B54" s="2" t="s">
        <v>270</v>
      </c>
      <c r="C54" s="2" t="s">
        <v>202</v>
      </c>
      <c r="D54" s="2" t="s">
        <v>16</v>
      </c>
      <c r="E54" s="2" t="s">
        <v>181</v>
      </c>
      <c r="F54" s="3" t="n">
        <v>43007</v>
      </c>
      <c r="G54" s="2" t="s">
        <v>38</v>
      </c>
      <c r="H54" s="2" t="s">
        <v>39</v>
      </c>
      <c r="I54" s="2" t="s">
        <v>271</v>
      </c>
      <c r="J54" s="2" t="s">
        <v>272</v>
      </c>
      <c r="K54" s="2" t="s">
        <v>42</v>
      </c>
      <c r="L54" s="4" t="n">
        <v>738769</v>
      </c>
      <c r="M54" s="6" t="s">
        <v>33</v>
      </c>
    </row>
    <row r="55" customFormat="false" ht="15" hidden="false" customHeight="false" outlineLevel="0" collapsed="false">
      <c r="A55" s="2" t="s">
        <v>273</v>
      </c>
      <c r="B55" s="2" t="s">
        <v>14</v>
      </c>
      <c r="C55" s="2" t="s">
        <v>146</v>
      </c>
      <c r="D55" s="2" t="s">
        <v>36</v>
      </c>
      <c r="E55" s="2" t="s">
        <v>37</v>
      </c>
      <c r="F55" s="3" t="n">
        <v>44029</v>
      </c>
      <c r="G55" s="2" t="s">
        <v>38</v>
      </c>
      <c r="H55" s="2" t="s">
        <v>19</v>
      </c>
      <c r="I55" s="2" t="s">
        <v>274</v>
      </c>
      <c r="J55" s="2" t="s">
        <v>275</v>
      </c>
      <c r="K55" s="2" t="s">
        <v>22</v>
      </c>
      <c r="L55" s="4" t="n">
        <v>860512</v>
      </c>
      <c r="M55" s="6" t="s">
        <v>33</v>
      </c>
    </row>
    <row r="56" customFormat="false" ht="15" hidden="false" customHeight="false" outlineLevel="0" collapsed="false">
      <c r="A56" s="2" t="s">
        <v>276</v>
      </c>
      <c r="B56" s="2" t="s">
        <v>197</v>
      </c>
      <c r="C56" s="2" t="s">
        <v>15</v>
      </c>
      <c r="D56" s="2" t="s">
        <v>68</v>
      </c>
      <c r="E56" s="2" t="s">
        <v>277</v>
      </c>
      <c r="F56" s="3" t="n">
        <v>42725</v>
      </c>
      <c r="G56" s="2" t="s">
        <v>107</v>
      </c>
      <c r="H56" s="2" t="s">
        <v>78</v>
      </c>
      <c r="I56" s="2" t="s">
        <v>278</v>
      </c>
      <c r="J56" s="2" t="s">
        <v>279</v>
      </c>
      <c r="K56" s="2" t="s">
        <v>102</v>
      </c>
      <c r="L56" s="4" t="n">
        <v>630651</v>
      </c>
      <c r="M56" s="7" t="s">
        <v>43</v>
      </c>
    </row>
    <row r="57" customFormat="false" ht="15" hidden="false" customHeight="false" outlineLevel="0" collapsed="false">
      <c r="A57" s="2" t="s">
        <v>280</v>
      </c>
      <c r="B57" s="2" t="s">
        <v>221</v>
      </c>
      <c r="C57" s="2" t="s">
        <v>165</v>
      </c>
      <c r="D57" s="2" t="s">
        <v>76</v>
      </c>
      <c r="E57" s="2" t="s">
        <v>281</v>
      </c>
      <c r="F57" s="3" t="n">
        <v>44739</v>
      </c>
      <c r="G57" s="2" t="s">
        <v>107</v>
      </c>
      <c r="H57" s="2" t="s">
        <v>39</v>
      </c>
      <c r="I57" s="2" t="s">
        <v>282</v>
      </c>
      <c r="J57" s="2" t="s">
        <v>283</v>
      </c>
      <c r="K57" s="2" t="s">
        <v>72</v>
      </c>
      <c r="L57" s="4" t="n">
        <v>895968</v>
      </c>
      <c r="M57" s="6" t="s">
        <v>33</v>
      </c>
    </row>
    <row r="58" customFormat="false" ht="15" hidden="false" customHeight="false" outlineLevel="0" collapsed="false">
      <c r="A58" s="2" t="s">
        <v>284</v>
      </c>
      <c r="B58" s="2" t="s">
        <v>285</v>
      </c>
      <c r="C58" s="2" t="s">
        <v>118</v>
      </c>
      <c r="D58" s="2" t="s">
        <v>68</v>
      </c>
      <c r="E58" s="2" t="s">
        <v>229</v>
      </c>
      <c r="F58" s="3" t="n">
        <v>43831</v>
      </c>
      <c r="G58" s="2" t="s">
        <v>18</v>
      </c>
      <c r="H58" s="2" t="s">
        <v>99</v>
      </c>
      <c r="I58" s="2" t="s">
        <v>286</v>
      </c>
      <c r="J58" s="2" t="s">
        <v>287</v>
      </c>
      <c r="K58" s="2" t="s">
        <v>59</v>
      </c>
      <c r="L58" s="4" t="n">
        <v>1035891</v>
      </c>
      <c r="M58" s="7" t="s">
        <v>43</v>
      </c>
    </row>
    <row r="59" customFormat="false" ht="15" hidden="false" customHeight="false" outlineLevel="0" collapsed="false">
      <c r="A59" s="2" t="s">
        <v>288</v>
      </c>
      <c r="B59" s="2" t="s">
        <v>289</v>
      </c>
      <c r="C59" s="2" t="s">
        <v>112</v>
      </c>
      <c r="D59" s="2" t="s">
        <v>105</v>
      </c>
      <c r="E59" s="2" t="s">
        <v>106</v>
      </c>
      <c r="F59" s="3" t="n">
        <v>42984</v>
      </c>
      <c r="G59" s="2" t="s">
        <v>18</v>
      </c>
      <c r="H59" s="2" t="s">
        <v>78</v>
      </c>
      <c r="I59" s="2" t="s">
        <v>290</v>
      </c>
      <c r="J59" s="2" t="s">
        <v>291</v>
      </c>
      <c r="K59" s="2" t="s">
        <v>22</v>
      </c>
      <c r="L59" s="4" t="n">
        <v>1599607</v>
      </c>
      <c r="M59" s="6" t="s">
        <v>33</v>
      </c>
    </row>
    <row r="60" customFormat="false" ht="15" hidden="false" customHeight="false" outlineLevel="0" collapsed="false">
      <c r="A60" s="2" t="s">
        <v>292</v>
      </c>
      <c r="B60" s="2" t="s">
        <v>74</v>
      </c>
      <c r="C60" s="2" t="s">
        <v>82</v>
      </c>
      <c r="D60" s="2" t="s">
        <v>47</v>
      </c>
      <c r="E60" s="2" t="s">
        <v>63</v>
      </c>
      <c r="F60" s="3" t="n">
        <v>42335</v>
      </c>
      <c r="G60" s="2" t="s">
        <v>18</v>
      </c>
      <c r="H60" s="2" t="s">
        <v>19</v>
      </c>
      <c r="I60" s="2" t="s">
        <v>293</v>
      </c>
      <c r="J60" s="2" t="s">
        <v>294</v>
      </c>
      <c r="K60" s="2" t="s">
        <v>59</v>
      </c>
      <c r="L60" s="4" t="n">
        <v>863829</v>
      </c>
      <c r="M60" s="6" t="s">
        <v>33</v>
      </c>
    </row>
    <row r="61" customFormat="false" ht="15" hidden="false" customHeight="false" outlineLevel="0" collapsed="false">
      <c r="A61" s="2" t="s">
        <v>295</v>
      </c>
      <c r="B61" s="2" t="s">
        <v>296</v>
      </c>
      <c r="C61" s="2" t="s">
        <v>239</v>
      </c>
      <c r="D61" s="2" t="s">
        <v>27</v>
      </c>
      <c r="E61" s="2" t="s">
        <v>28</v>
      </c>
      <c r="F61" s="3" t="n">
        <v>43674</v>
      </c>
      <c r="G61" s="2" t="s">
        <v>18</v>
      </c>
      <c r="H61" s="2" t="s">
        <v>39</v>
      </c>
      <c r="I61" s="2" t="s">
        <v>297</v>
      </c>
      <c r="J61" s="2" t="s">
        <v>298</v>
      </c>
      <c r="K61" s="2" t="s">
        <v>59</v>
      </c>
      <c r="L61" s="4" t="n">
        <v>2265290</v>
      </c>
      <c r="M61" s="6" t="s">
        <v>33</v>
      </c>
    </row>
    <row r="62" customFormat="false" ht="15" hidden="false" customHeight="false" outlineLevel="0" collapsed="false">
      <c r="A62" s="2" t="s">
        <v>299</v>
      </c>
      <c r="B62" s="2" t="s">
        <v>228</v>
      </c>
      <c r="C62" s="2" t="s">
        <v>146</v>
      </c>
      <c r="D62" s="2" t="s">
        <v>16</v>
      </c>
      <c r="E62" s="2" t="s">
        <v>125</v>
      </c>
      <c r="F62" s="3" t="n">
        <v>43563</v>
      </c>
      <c r="G62" s="2" t="s">
        <v>38</v>
      </c>
      <c r="H62" s="2" t="s">
        <v>29</v>
      </c>
      <c r="I62" s="2" t="s">
        <v>300</v>
      </c>
      <c r="J62" s="2" t="s">
        <v>301</v>
      </c>
      <c r="K62" s="2" t="s">
        <v>72</v>
      </c>
      <c r="L62" s="4" t="n">
        <v>1708930</v>
      </c>
      <c r="M62" s="7" t="s">
        <v>43</v>
      </c>
    </row>
    <row r="63" customFormat="false" ht="15" hidden="false" customHeight="false" outlineLevel="0" collapsed="false">
      <c r="A63" s="2" t="s">
        <v>302</v>
      </c>
      <c r="B63" s="2" t="s">
        <v>258</v>
      </c>
      <c r="C63" s="2" t="s">
        <v>26</v>
      </c>
      <c r="D63" s="2" t="s">
        <v>36</v>
      </c>
      <c r="E63" s="2" t="s">
        <v>37</v>
      </c>
      <c r="F63" s="3" t="n">
        <v>42903</v>
      </c>
      <c r="G63" s="2" t="s">
        <v>18</v>
      </c>
      <c r="H63" s="2" t="s">
        <v>78</v>
      </c>
      <c r="I63" s="2" t="s">
        <v>303</v>
      </c>
      <c r="J63" s="2" t="s">
        <v>304</v>
      </c>
      <c r="K63" s="2" t="s">
        <v>42</v>
      </c>
      <c r="L63" s="4" t="n">
        <v>703873</v>
      </c>
      <c r="M63" s="6" t="s">
        <v>33</v>
      </c>
    </row>
    <row r="64" customFormat="false" ht="15" hidden="false" customHeight="false" outlineLevel="0" collapsed="false">
      <c r="A64" s="2" t="s">
        <v>305</v>
      </c>
      <c r="B64" s="2" t="s">
        <v>135</v>
      </c>
      <c r="C64" s="2" t="s">
        <v>142</v>
      </c>
      <c r="D64" s="2" t="s">
        <v>76</v>
      </c>
      <c r="E64" s="2" t="s">
        <v>281</v>
      </c>
      <c r="F64" s="3" t="n">
        <v>42527</v>
      </c>
      <c r="G64" s="2" t="s">
        <v>107</v>
      </c>
      <c r="H64" s="2" t="s">
        <v>39</v>
      </c>
      <c r="I64" s="2" t="s">
        <v>306</v>
      </c>
      <c r="J64" s="2" t="s">
        <v>307</v>
      </c>
      <c r="K64" s="2" t="s">
        <v>59</v>
      </c>
      <c r="L64" s="4" t="n">
        <v>810322</v>
      </c>
      <c r="M64" s="6" t="s">
        <v>33</v>
      </c>
    </row>
    <row r="65" customFormat="false" ht="15" hidden="false" customHeight="false" outlineLevel="0" collapsed="false">
      <c r="A65" s="2" t="s">
        <v>308</v>
      </c>
      <c r="B65" s="2" t="s">
        <v>135</v>
      </c>
      <c r="C65" s="2" t="s">
        <v>174</v>
      </c>
      <c r="D65" s="2" t="s">
        <v>27</v>
      </c>
      <c r="E65" s="2" t="s">
        <v>28</v>
      </c>
      <c r="F65" s="3" t="n">
        <v>42560</v>
      </c>
      <c r="G65" s="2" t="s">
        <v>38</v>
      </c>
      <c r="H65" s="2" t="s">
        <v>19</v>
      </c>
      <c r="I65" s="2" t="s">
        <v>309</v>
      </c>
      <c r="J65" s="2" t="s">
        <v>310</v>
      </c>
      <c r="K65" s="2" t="s">
        <v>72</v>
      </c>
      <c r="L65" s="4" t="n">
        <v>2597519</v>
      </c>
      <c r="M65" s="6" t="s">
        <v>33</v>
      </c>
    </row>
    <row r="66" customFormat="false" ht="15" hidden="false" customHeight="false" outlineLevel="0" collapsed="false">
      <c r="A66" s="2" t="s">
        <v>311</v>
      </c>
      <c r="B66" s="2" t="s">
        <v>192</v>
      </c>
      <c r="C66" s="2" t="s">
        <v>165</v>
      </c>
      <c r="D66" s="2" t="s">
        <v>47</v>
      </c>
      <c r="E66" s="2" t="s">
        <v>48</v>
      </c>
      <c r="F66" s="3" t="n">
        <v>45122</v>
      </c>
      <c r="G66" s="2" t="s">
        <v>38</v>
      </c>
      <c r="H66" s="2" t="s">
        <v>49</v>
      </c>
      <c r="I66" s="2" t="s">
        <v>312</v>
      </c>
      <c r="J66" s="2" t="s">
        <v>313</v>
      </c>
      <c r="K66" s="2" t="s">
        <v>59</v>
      </c>
      <c r="L66" s="4" t="n">
        <v>1564525</v>
      </c>
      <c r="M66" s="7" t="s">
        <v>43</v>
      </c>
    </row>
    <row r="67" customFormat="false" ht="15" hidden="false" customHeight="false" outlineLevel="0" collapsed="false">
      <c r="A67" s="2" t="s">
        <v>314</v>
      </c>
      <c r="B67" s="2" t="s">
        <v>96</v>
      </c>
      <c r="C67" s="2" t="s">
        <v>136</v>
      </c>
      <c r="D67" s="2" t="s">
        <v>16</v>
      </c>
      <c r="E67" s="2" t="s">
        <v>17</v>
      </c>
      <c r="F67" s="3" t="n">
        <v>44214</v>
      </c>
      <c r="G67" s="2" t="s">
        <v>18</v>
      </c>
      <c r="H67" s="2" t="s">
        <v>49</v>
      </c>
      <c r="I67" s="2" t="s">
        <v>315</v>
      </c>
      <c r="J67" s="2" t="s">
        <v>316</v>
      </c>
      <c r="K67" s="2" t="s">
        <v>22</v>
      </c>
      <c r="L67" s="4" t="n">
        <v>2271951</v>
      </c>
      <c r="M67" s="7" t="s">
        <v>43</v>
      </c>
    </row>
    <row r="68" customFormat="false" ht="15" hidden="false" customHeight="false" outlineLevel="0" collapsed="false">
      <c r="A68" s="2" t="s">
        <v>317</v>
      </c>
      <c r="B68" s="2" t="s">
        <v>318</v>
      </c>
      <c r="C68" s="2" t="s">
        <v>97</v>
      </c>
      <c r="D68" s="2" t="s">
        <v>16</v>
      </c>
      <c r="E68" s="2" t="s">
        <v>83</v>
      </c>
      <c r="F68" s="3" t="n">
        <v>42821</v>
      </c>
      <c r="G68" s="2" t="s">
        <v>18</v>
      </c>
      <c r="H68" s="2" t="s">
        <v>39</v>
      </c>
      <c r="I68" s="2" t="s">
        <v>319</v>
      </c>
      <c r="J68" s="2" t="s">
        <v>320</v>
      </c>
      <c r="K68" s="2" t="s">
        <v>32</v>
      </c>
      <c r="L68" s="4" t="n">
        <v>966176</v>
      </c>
      <c r="M68" s="6" t="s">
        <v>33</v>
      </c>
    </row>
    <row r="69" customFormat="false" ht="15" hidden="false" customHeight="false" outlineLevel="0" collapsed="false">
      <c r="A69" s="2" t="s">
        <v>321</v>
      </c>
      <c r="B69" s="2" t="s">
        <v>135</v>
      </c>
      <c r="C69" s="2" t="s">
        <v>15</v>
      </c>
      <c r="D69" s="2" t="s">
        <v>36</v>
      </c>
      <c r="E69" s="2" t="s">
        <v>37</v>
      </c>
      <c r="F69" s="3" t="n">
        <v>44870</v>
      </c>
      <c r="G69" s="2" t="s">
        <v>18</v>
      </c>
      <c r="H69" s="2" t="s">
        <v>49</v>
      </c>
      <c r="I69" s="2" t="s">
        <v>322</v>
      </c>
      <c r="J69" s="2" t="s">
        <v>323</v>
      </c>
      <c r="K69" s="2" t="s">
        <v>102</v>
      </c>
      <c r="L69" s="4" t="n">
        <v>818372</v>
      </c>
      <c r="M69" s="5" t="s">
        <v>23</v>
      </c>
    </row>
    <row r="70" customFormat="false" ht="15" hidden="false" customHeight="false" outlineLevel="0" collapsed="false">
      <c r="A70" s="2" t="s">
        <v>324</v>
      </c>
      <c r="B70" s="2" t="s">
        <v>296</v>
      </c>
      <c r="C70" s="2" t="s">
        <v>15</v>
      </c>
      <c r="D70" s="2" t="s">
        <v>76</v>
      </c>
      <c r="E70" s="2" t="s">
        <v>137</v>
      </c>
      <c r="F70" s="3" t="n">
        <v>42447</v>
      </c>
      <c r="G70" s="2" t="s">
        <v>107</v>
      </c>
      <c r="H70" s="2" t="s">
        <v>29</v>
      </c>
      <c r="I70" s="2" t="s">
        <v>325</v>
      </c>
      <c r="J70" s="2" t="s">
        <v>326</v>
      </c>
      <c r="K70" s="2" t="s">
        <v>102</v>
      </c>
      <c r="L70" s="4" t="n">
        <v>1693537</v>
      </c>
      <c r="M70" s="6" t="s">
        <v>33</v>
      </c>
    </row>
    <row r="71" customFormat="false" ht="15" hidden="false" customHeight="false" outlineLevel="0" collapsed="false">
      <c r="A71" s="2" t="s">
        <v>327</v>
      </c>
      <c r="B71" s="2" t="s">
        <v>328</v>
      </c>
      <c r="C71" s="2" t="s">
        <v>146</v>
      </c>
      <c r="D71" s="2" t="s">
        <v>36</v>
      </c>
      <c r="E71" s="2" t="s">
        <v>166</v>
      </c>
      <c r="F71" s="3" t="n">
        <v>44860</v>
      </c>
      <c r="G71" s="2" t="s">
        <v>18</v>
      </c>
      <c r="H71" s="2" t="s">
        <v>99</v>
      </c>
      <c r="I71" s="2" t="s">
        <v>329</v>
      </c>
      <c r="J71" s="2" t="s">
        <v>330</v>
      </c>
      <c r="K71" s="2" t="s">
        <v>42</v>
      </c>
      <c r="L71" s="4" t="n">
        <v>796711</v>
      </c>
      <c r="M71" s="7" t="s">
        <v>43</v>
      </c>
    </row>
    <row r="72" customFormat="false" ht="15" hidden="false" customHeight="false" outlineLevel="0" collapsed="false">
      <c r="A72" s="2" t="s">
        <v>331</v>
      </c>
      <c r="B72" s="2" t="s">
        <v>151</v>
      </c>
      <c r="C72" s="2" t="s">
        <v>54</v>
      </c>
      <c r="D72" s="2" t="s">
        <v>68</v>
      </c>
      <c r="E72" s="2" t="s">
        <v>229</v>
      </c>
      <c r="F72" s="3" t="n">
        <v>43522</v>
      </c>
      <c r="G72" s="2" t="s">
        <v>18</v>
      </c>
      <c r="H72" s="2" t="s">
        <v>39</v>
      </c>
      <c r="I72" s="2" t="s">
        <v>332</v>
      </c>
      <c r="J72" s="2" t="s">
        <v>333</v>
      </c>
      <c r="K72" s="2" t="s">
        <v>72</v>
      </c>
      <c r="L72" s="4" t="n">
        <v>906633</v>
      </c>
      <c r="M72" s="7" t="s">
        <v>43</v>
      </c>
    </row>
    <row r="73" customFormat="false" ht="15" hidden="false" customHeight="false" outlineLevel="0" collapsed="false">
      <c r="A73" s="2" t="s">
        <v>334</v>
      </c>
      <c r="B73" s="2" t="s">
        <v>258</v>
      </c>
      <c r="C73" s="2" t="s">
        <v>136</v>
      </c>
      <c r="D73" s="2" t="s">
        <v>27</v>
      </c>
      <c r="E73" s="2" t="s">
        <v>28</v>
      </c>
      <c r="F73" s="3" t="n">
        <v>43488</v>
      </c>
      <c r="G73" s="2" t="s">
        <v>38</v>
      </c>
      <c r="H73" s="2" t="s">
        <v>99</v>
      </c>
      <c r="I73" s="2" t="s">
        <v>335</v>
      </c>
      <c r="J73" s="2" t="s">
        <v>336</v>
      </c>
      <c r="K73" s="2" t="s">
        <v>59</v>
      </c>
      <c r="L73" s="4" t="n">
        <v>2384692</v>
      </c>
      <c r="M73" s="5" t="s">
        <v>23</v>
      </c>
    </row>
    <row r="74" customFormat="false" ht="15" hidden="false" customHeight="false" outlineLevel="0" collapsed="false">
      <c r="A74" s="2" t="s">
        <v>337</v>
      </c>
      <c r="B74" s="2" t="s">
        <v>338</v>
      </c>
      <c r="C74" s="2" t="s">
        <v>112</v>
      </c>
      <c r="D74" s="2" t="s">
        <v>105</v>
      </c>
      <c r="E74" s="2" t="s">
        <v>214</v>
      </c>
      <c r="F74" s="3" t="n">
        <v>43789</v>
      </c>
      <c r="G74" s="2" t="s">
        <v>107</v>
      </c>
      <c r="H74" s="2" t="s">
        <v>49</v>
      </c>
      <c r="I74" s="2" t="s">
        <v>339</v>
      </c>
      <c r="J74" s="2" t="s">
        <v>340</v>
      </c>
      <c r="K74" s="2" t="s">
        <v>32</v>
      </c>
      <c r="L74" s="4" t="n">
        <v>1390872</v>
      </c>
      <c r="M74" s="6" t="s">
        <v>33</v>
      </c>
    </row>
    <row r="75" customFormat="false" ht="15" hidden="false" customHeight="false" outlineLevel="0" collapsed="false">
      <c r="A75" s="2" t="s">
        <v>341</v>
      </c>
      <c r="B75" s="2" t="s">
        <v>342</v>
      </c>
      <c r="C75" s="2" t="s">
        <v>130</v>
      </c>
      <c r="D75" s="2" t="s">
        <v>105</v>
      </c>
      <c r="E75" s="2" t="s">
        <v>106</v>
      </c>
      <c r="F75" s="3" t="n">
        <v>44504</v>
      </c>
      <c r="G75" s="2" t="s">
        <v>38</v>
      </c>
      <c r="H75" s="2" t="s">
        <v>49</v>
      </c>
      <c r="I75" s="2" t="s">
        <v>343</v>
      </c>
      <c r="J75" s="2" t="s">
        <v>344</v>
      </c>
      <c r="K75" s="2" t="s">
        <v>59</v>
      </c>
      <c r="L75" s="4" t="n">
        <v>1640802</v>
      </c>
      <c r="M75" s="6" t="s">
        <v>33</v>
      </c>
    </row>
    <row r="76" customFormat="false" ht="15" hidden="false" customHeight="false" outlineLevel="0" collapsed="false">
      <c r="A76" s="2" t="s">
        <v>345</v>
      </c>
      <c r="B76" s="2" t="s">
        <v>346</v>
      </c>
      <c r="C76" s="2" t="s">
        <v>239</v>
      </c>
      <c r="D76" s="2" t="s">
        <v>47</v>
      </c>
      <c r="E76" s="2" t="s">
        <v>48</v>
      </c>
      <c r="F76" s="3" t="n">
        <v>43399</v>
      </c>
      <c r="G76" s="2" t="s">
        <v>18</v>
      </c>
      <c r="H76" s="2" t="s">
        <v>39</v>
      </c>
      <c r="I76" s="2" t="s">
        <v>347</v>
      </c>
      <c r="J76" s="2" t="s">
        <v>348</v>
      </c>
      <c r="K76" s="2" t="s">
        <v>72</v>
      </c>
      <c r="L76" s="4" t="n">
        <v>1882789</v>
      </c>
      <c r="M76" s="6" t="s">
        <v>33</v>
      </c>
    </row>
    <row r="77" customFormat="false" ht="15" hidden="false" customHeight="false" outlineLevel="0" collapsed="false">
      <c r="A77" s="2" t="s">
        <v>349</v>
      </c>
      <c r="B77" s="2" t="s">
        <v>338</v>
      </c>
      <c r="C77" s="2" t="s">
        <v>239</v>
      </c>
      <c r="D77" s="2" t="s">
        <v>27</v>
      </c>
      <c r="E77" s="2" t="s">
        <v>98</v>
      </c>
      <c r="F77" s="3" t="n">
        <v>44954</v>
      </c>
      <c r="G77" s="2" t="s">
        <v>38</v>
      </c>
      <c r="H77" s="2" t="s">
        <v>78</v>
      </c>
      <c r="I77" s="2" t="s">
        <v>350</v>
      </c>
      <c r="J77" s="2" t="s">
        <v>351</v>
      </c>
      <c r="K77" s="2" t="s">
        <v>32</v>
      </c>
      <c r="L77" s="4" t="n">
        <v>1262078</v>
      </c>
      <c r="M77" s="6" t="s">
        <v>33</v>
      </c>
    </row>
    <row r="78" customFormat="false" ht="15" hidden="false" customHeight="false" outlineLevel="0" collapsed="false">
      <c r="A78" s="2" t="s">
        <v>352</v>
      </c>
      <c r="B78" s="2" t="s">
        <v>318</v>
      </c>
      <c r="C78" s="2" t="s">
        <v>136</v>
      </c>
      <c r="D78" s="2" t="s">
        <v>105</v>
      </c>
      <c r="E78" s="2" t="s">
        <v>353</v>
      </c>
      <c r="F78" s="3" t="n">
        <v>42386</v>
      </c>
      <c r="G78" s="2" t="s">
        <v>18</v>
      </c>
      <c r="H78" s="2" t="s">
        <v>19</v>
      </c>
      <c r="I78" s="2" t="s">
        <v>354</v>
      </c>
      <c r="J78" s="2" t="s">
        <v>355</v>
      </c>
      <c r="K78" s="2" t="s">
        <v>22</v>
      </c>
      <c r="L78" s="4" t="n">
        <v>627561</v>
      </c>
      <c r="M78" s="6" t="s">
        <v>33</v>
      </c>
    </row>
    <row r="79" customFormat="false" ht="15" hidden="false" customHeight="false" outlineLevel="0" collapsed="false">
      <c r="A79" s="2" t="s">
        <v>356</v>
      </c>
      <c r="B79" s="2" t="s">
        <v>135</v>
      </c>
      <c r="C79" s="2" t="s">
        <v>146</v>
      </c>
      <c r="D79" s="2" t="s">
        <v>47</v>
      </c>
      <c r="E79" s="2" t="s">
        <v>48</v>
      </c>
      <c r="F79" s="3" t="n">
        <v>44272</v>
      </c>
      <c r="G79" s="2" t="s">
        <v>107</v>
      </c>
      <c r="H79" s="2" t="s">
        <v>49</v>
      </c>
      <c r="I79" s="2" t="s">
        <v>357</v>
      </c>
      <c r="J79" s="2" t="s">
        <v>358</v>
      </c>
      <c r="K79" s="2" t="s">
        <v>22</v>
      </c>
      <c r="L79" s="4" t="n">
        <v>1877124</v>
      </c>
      <c r="M79" s="6" t="s">
        <v>33</v>
      </c>
    </row>
    <row r="80" customFormat="false" ht="15" hidden="false" customHeight="false" outlineLevel="0" collapsed="false">
      <c r="A80" s="2" t="s">
        <v>359</v>
      </c>
      <c r="B80" s="2" t="s">
        <v>53</v>
      </c>
      <c r="C80" s="2" t="s">
        <v>165</v>
      </c>
      <c r="D80" s="2" t="s">
        <v>55</v>
      </c>
      <c r="E80" s="2" t="s">
        <v>360</v>
      </c>
      <c r="F80" s="3" t="n">
        <v>43034</v>
      </c>
      <c r="G80" s="2" t="s">
        <v>18</v>
      </c>
      <c r="H80" s="2" t="s">
        <v>29</v>
      </c>
      <c r="I80" s="2" t="s">
        <v>361</v>
      </c>
      <c r="J80" s="2" t="s">
        <v>362</v>
      </c>
      <c r="K80" s="2" t="s">
        <v>32</v>
      </c>
      <c r="L80" s="4" t="n">
        <v>1630876</v>
      </c>
      <c r="M80" s="6" t="s">
        <v>33</v>
      </c>
    </row>
    <row r="81" customFormat="false" ht="15" hidden="false" customHeight="false" outlineLevel="0" collapsed="false">
      <c r="A81" s="2" t="s">
        <v>363</v>
      </c>
      <c r="B81" s="2" t="s">
        <v>197</v>
      </c>
      <c r="C81" s="2" t="s">
        <v>124</v>
      </c>
      <c r="D81" s="2" t="s">
        <v>36</v>
      </c>
      <c r="E81" s="2" t="s">
        <v>147</v>
      </c>
      <c r="F81" s="3" t="n">
        <v>45030</v>
      </c>
      <c r="G81" s="2" t="s">
        <v>38</v>
      </c>
      <c r="H81" s="2" t="s">
        <v>49</v>
      </c>
      <c r="I81" s="2" t="s">
        <v>364</v>
      </c>
      <c r="J81" s="2" t="s">
        <v>365</v>
      </c>
      <c r="K81" s="2" t="s">
        <v>102</v>
      </c>
      <c r="L81" s="4" t="n">
        <v>898567</v>
      </c>
      <c r="M81" s="6" t="s">
        <v>33</v>
      </c>
    </row>
    <row r="82" customFormat="false" ht="15" hidden="false" customHeight="false" outlineLevel="0" collapsed="false">
      <c r="A82" s="2" t="s">
        <v>366</v>
      </c>
      <c r="B82" s="2" t="s">
        <v>188</v>
      </c>
      <c r="C82" s="2" t="s">
        <v>206</v>
      </c>
      <c r="D82" s="2" t="s">
        <v>27</v>
      </c>
      <c r="E82" s="2" t="s">
        <v>98</v>
      </c>
      <c r="F82" s="3" t="n">
        <v>43218</v>
      </c>
      <c r="G82" s="2" t="s">
        <v>18</v>
      </c>
      <c r="H82" s="2" t="s">
        <v>49</v>
      </c>
      <c r="I82" s="2" t="s">
        <v>367</v>
      </c>
      <c r="J82" s="2" t="s">
        <v>368</v>
      </c>
      <c r="K82" s="2" t="s">
        <v>72</v>
      </c>
      <c r="L82" s="4" t="n">
        <v>907417</v>
      </c>
      <c r="M82" s="5" t="s">
        <v>23</v>
      </c>
    </row>
    <row r="83" customFormat="false" ht="15" hidden="false" customHeight="false" outlineLevel="0" collapsed="false">
      <c r="A83" s="2" t="s">
        <v>369</v>
      </c>
      <c r="B83" s="2" t="s">
        <v>111</v>
      </c>
      <c r="C83" s="2" t="s">
        <v>202</v>
      </c>
      <c r="D83" s="2" t="s">
        <v>55</v>
      </c>
      <c r="E83" s="2" t="s">
        <v>56</v>
      </c>
      <c r="F83" s="3" t="n">
        <v>42228</v>
      </c>
      <c r="G83" s="2" t="s">
        <v>107</v>
      </c>
      <c r="H83" s="2" t="s">
        <v>49</v>
      </c>
      <c r="I83" s="2" t="s">
        <v>370</v>
      </c>
      <c r="J83" s="2" t="s">
        <v>371</v>
      </c>
      <c r="K83" s="2" t="s">
        <v>32</v>
      </c>
      <c r="L83" s="4" t="n">
        <v>834427</v>
      </c>
      <c r="M83" s="7" t="s">
        <v>43</v>
      </c>
    </row>
    <row r="84" customFormat="false" ht="15" hidden="false" customHeight="false" outlineLevel="0" collapsed="false">
      <c r="A84" s="2" t="s">
        <v>372</v>
      </c>
      <c r="B84" s="2" t="s">
        <v>197</v>
      </c>
      <c r="C84" s="2" t="s">
        <v>136</v>
      </c>
      <c r="D84" s="2" t="s">
        <v>27</v>
      </c>
      <c r="E84" s="2" t="s">
        <v>131</v>
      </c>
      <c r="F84" s="3" t="n">
        <v>44356</v>
      </c>
      <c r="G84" s="2" t="s">
        <v>18</v>
      </c>
      <c r="H84" s="2" t="s">
        <v>78</v>
      </c>
      <c r="I84" s="2" t="s">
        <v>373</v>
      </c>
      <c r="J84" s="2" t="s">
        <v>374</v>
      </c>
      <c r="K84" s="2" t="s">
        <v>59</v>
      </c>
      <c r="L84" s="4" t="n">
        <v>678628</v>
      </c>
      <c r="M84" s="6" t="s">
        <v>33</v>
      </c>
    </row>
    <row r="85" customFormat="false" ht="15" hidden="false" customHeight="false" outlineLevel="0" collapsed="false">
      <c r="A85" s="2" t="s">
        <v>375</v>
      </c>
      <c r="B85" s="2" t="s">
        <v>129</v>
      </c>
      <c r="C85" s="2" t="s">
        <v>112</v>
      </c>
      <c r="D85" s="2" t="s">
        <v>105</v>
      </c>
      <c r="E85" s="2" t="s">
        <v>353</v>
      </c>
      <c r="F85" s="3" t="n">
        <v>45372</v>
      </c>
      <c r="G85" s="2" t="s">
        <v>18</v>
      </c>
      <c r="H85" s="2" t="s">
        <v>78</v>
      </c>
      <c r="I85" s="2" t="s">
        <v>376</v>
      </c>
      <c r="J85" s="2" t="s">
        <v>377</v>
      </c>
      <c r="K85" s="2" t="s">
        <v>42</v>
      </c>
      <c r="L85" s="4" t="n">
        <v>802525</v>
      </c>
      <c r="M85" s="5" t="s">
        <v>23</v>
      </c>
    </row>
    <row r="86" customFormat="false" ht="15" hidden="false" customHeight="false" outlineLevel="0" collapsed="false">
      <c r="A86" s="2" t="s">
        <v>378</v>
      </c>
      <c r="B86" s="2" t="s">
        <v>213</v>
      </c>
      <c r="C86" s="2" t="s">
        <v>97</v>
      </c>
      <c r="D86" s="2" t="s">
        <v>76</v>
      </c>
      <c r="E86" s="2" t="s">
        <v>77</v>
      </c>
      <c r="F86" s="3" t="n">
        <v>45327</v>
      </c>
      <c r="G86" s="2" t="s">
        <v>107</v>
      </c>
      <c r="H86" s="2" t="s">
        <v>49</v>
      </c>
      <c r="I86" s="2" t="s">
        <v>379</v>
      </c>
      <c r="J86" s="2" t="s">
        <v>380</v>
      </c>
      <c r="K86" s="2" t="s">
        <v>32</v>
      </c>
      <c r="L86" s="4" t="n">
        <v>562102</v>
      </c>
      <c r="M86" s="6" t="s">
        <v>33</v>
      </c>
    </row>
    <row r="87" customFormat="false" ht="15" hidden="false" customHeight="false" outlineLevel="0" collapsed="false">
      <c r="A87" s="2" t="s">
        <v>381</v>
      </c>
      <c r="B87" s="2" t="s">
        <v>197</v>
      </c>
      <c r="C87" s="2" t="s">
        <v>46</v>
      </c>
      <c r="D87" s="2" t="s">
        <v>36</v>
      </c>
      <c r="E87" s="2" t="s">
        <v>37</v>
      </c>
      <c r="F87" s="3" t="n">
        <v>43850</v>
      </c>
      <c r="G87" s="2" t="s">
        <v>38</v>
      </c>
      <c r="H87" s="2" t="s">
        <v>49</v>
      </c>
      <c r="I87" s="2" t="s">
        <v>382</v>
      </c>
      <c r="J87" s="2" t="s">
        <v>383</v>
      </c>
      <c r="K87" s="2" t="s">
        <v>59</v>
      </c>
      <c r="L87" s="4" t="n">
        <v>660107</v>
      </c>
      <c r="M87" s="6" t="s">
        <v>33</v>
      </c>
    </row>
    <row r="88" customFormat="false" ht="15" hidden="false" customHeight="false" outlineLevel="0" collapsed="false">
      <c r="A88" s="2" t="s">
        <v>384</v>
      </c>
      <c r="B88" s="2" t="s">
        <v>285</v>
      </c>
      <c r="C88" s="2" t="s">
        <v>97</v>
      </c>
      <c r="D88" s="2" t="s">
        <v>27</v>
      </c>
      <c r="E88" s="2" t="s">
        <v>98</v>
      </c>
      <c r="F88" s="3" t="n">
        <v>44567</v>
      </c>
      <c r="G88" s="2" t="s">
        <v>18</v>
      </c>
      <c r="H88" s="2" t="s">
        <v>49</v>
      </c>
      <c r="I88" s="2" t="s">
        <v>385</v>
      </c>
      <c r="J88" s="2" t="s">
        <v>386</v>
      </c>
      <c r="K88" s="2" t="s">
        <v>42</v>
      </c>
      <c r="L88" s="4" t="n">
        <v>982343</v>
      </c>
      <c r="M88" s="6" t="s">
        <v>33</v>
      </c>
    </row>
    <row r="89" customFormat="false" ht="15" hidden="false" customHeight="false" outlineLevel="0" collapsed="false">
      <c r="A89" s="2" t="s">
        <v>387</v>
      </c>
      <c r="B89" s="2" t="s">
        <v>388</v>
      </c>
      <c r="C89" s="2" t="s">
        <v>26</v>
      </c>
      <c r="D89" s="2" t="s">
        <v>27</v>
      </c>
      <c r="E89" s="2" t="s">
        <v>98</v>
      </c>
      <c r="F89" s="3" t="n">
        <v>42015</v>
      </c>
      <c r="G89" s="2" t="s">
        <v>38</v>
      </c>
      <c r="H89" s="2" t="s">
        <v>78</v>
      </c>
      <c r="I89" s="2" t="s">
        <v>389</v>
      </c>
      <c r="J89" s="2" t="s">
        <v>390</v>
      </c>
      <c r="K89" s="2" t="s">
        <v>102</v>
      </c>
      <c r="L89" s="4" t="n">
        <v>1146369</v>
      </c>
      <c r="M89" s="6" t="s">
        <v>33</v>
      </c>
    </row>
    <row r="90" customFormat="false" ht="15" hidden="false" customHeight="false" outlineLevel="0" collapsed="false">
      <c r="A90" s="2" t="s">
        <v>391</v>
      </c>
      <c r="B90" s="2" t="s">
        <v>151</v>
      </c>
      <c r="C90" s="2" t="s">
        <v>130</v>
      </c>
      <c r="D90" s="2" t="s">
        <v>55</v>
      </c>
      <c r="E90" s="2" t="s">
        <v>360</v>
      </c>
      <c r="F90" s="3" t="n">
        <v>44884</v>
      </c>
      <c r="G90" s="2" t="s">
        <v>38</v>
      </c>
      <c r="H90" s="2" t="s">
        <v>29</v>
      </c>
      <c r="I90" s="2" t="s">
        <v>392</v>
      </c>
      <c r="J90" s="2" t="s">
        <v>393</v>
      </c>
      <c r="K90" s="2" t="s">
        <v>32</v>
      </c>
      <c r="L90" s="4" t="n">
        <v>1577405</v>
      </c>
      <c r="M90" s="7" t="s">
        <v>43</v>
      </c>
    </row>
    <row r="91" customFormat="false" ht="15" hidden="false" customHeight="false" outlineLevel="0" collapsed="false">
      <c r="A91" s="2" t="s">
        <v>394</v>
      </c>
      <c r="B91" s="2" t="s">
        <v>395</v>
      </c>
      <c r="C91" s="2" t="s">
        <v>15</v>
      </c>
      <c r="D91" s="2" t="s">
        <v>36</v>
      </c>
      <c r="E91" s="2" t="s">
        <v>147</v>
      </c>
      <c r="F91" s="3" t="n">
        <v>43093</v>
      </c>
      <c r="G91" s="2" t="s">
        <v>18</v>
      </c>
      <c r="H91" s="2" t="s">
        <v>29</v>
      </c>
      <c r="I91" s="2" t="s">
        <v>396</v>
      </c>
      <c r="J91" s="2" t="s">
        <v>397</v>
      </c>
      <c r="K91" s="2" t="s">
        <v>32</v>
      </c>
      <c r="L91" s="4" t="n">
        <v>661277</v>
      </c>
      <c r="M91" s="6" t="s">
        <v>33</v>
      </c>
    </row>
    <row r="92" customFormat="false" ht="15" hidden="false" customHeight="false" outlineLevel="0" collapsed="false">
      <c r="A92" s="2" t="s">
        <v>398</v>
      </c>
      <c r="B92" s="2" t="s">
        <v>25</v>
      </c>
      <c r="C92" s="2" t="s">
        <v>146</v>
      </c>
      <c r="D92" s="2" t="s">
        <v>55</v>
      </c>
      <c r="E92" s="2" t="s">
        <v>92</v>
      </c>
      <c r="F92" s="3" t="n">
        <v>42514</v>
      </c>
      <c r="G92" s="2" t="s">
        <v>38</v>
      </c>
      <c r="H92" s="2" t="s">
        <v>99</v>
      </c>
      <c r="I92" s="2" t="s">
        <v>399</v>
      </c>
      <c r="J92" s="2" t="s">
        <v>400</v>
      </c>
      <c r="K92" s="2" t="s">
        <v>22</v>
      </c>
      <c r="L92" s="4" t="n">
        <v>711030</v>
      </c>
      <c r="M92" s="6" t="s">
        <v>33</v>
      </c>
    </row>
    <row r="93" customFormat="false" ht="15" hidden="false" customHeight="false" outlineLevel="0" collapsed="false">
      <c r="A93" s="2" t="s">
        <v>401</v>
      </c>
      <c r="B93" s="2" t="s">
        <v>402</v>
      </c>
      <c r="C93" s="2" t="s">
        <v>26</v>
      </c>
      <c r="D93" s="2" t="s">
        <v>105</v>
      </c>
      <c r="E93" s="2" t="s">
        <v>214</v>
      </c>
      <c r="F93" s="3" t="n">
        <v>42334</v>
      </c>
      <c r="G93" s="2" t="s">
        <v>107</v>
      </c>
      <c r="H93" s="2" t="s">
        <v>29</v>
      </c>
      <c r="I93" s="2" t="s">
        <v>403</v>
      </c>
      <c r="J93" s="2" t="s">
        <v>404</v>
      </c>
      <c r="K93" s="2" t="s">
        <v>22</v>
      </c>
      <c r="L93" s="4" t="n">
        <v>1637978</v>
      </c>
      <c r="M93" s="6" t="s">
        <v>33</v>
      </c>
    </row>
    <row r="94" customFormat="false" ht="15" hidden="false" customHeight="false" outlineLevel="0" collapsed="false">
      <c r="A94" s="2" t="s">
        <v>405</v>
      </c>
      <c r="B94" s="2" t="s">
        <v>117</v>
      </c>
      <c r="C94" s="2" t="s">
        <v>174</v>
      </c>
      <c r="D94" s="2" t="s">
        <v>27</v>
      </c>
      <c r="E94" s="2" t="s">
        <v>98</v>
      </c>
      <c r="F94" s="3" t="n">
        <v>44766</v>
      </c>
      <c r="G94" s="2" t="s">
        <v>107</v>
      </c>
      <c r="H94" s="2" t="s">
        <v>39</v>
      </c>
      <c r="I94" s="2" t="s">
        <v>406</v>
      </c>
      <c r="J94" s="2" t="s">
        <v>407</v>
      </c>
      <c r="K94" s="2" t="s">
        <v>22</v>
      </c>
      <c r="L94" s="4" t="n">
        <v>1330661</v>
      </c>
      <c r="M94" s="6" t="s">
        <v>33</v>
      </c>
    </row>
    <row r="95" customFormat="false" ht="15" hidden="false" customHeight="false" outlineLevel="0" collapsed="false">
      <c r="A95" s="2" t="s">
        <v>408</v>
      </c>
      <c r="B95" s="2" t="s">
        <v>87</v>
      </c>
      <c r="C95" s="2" t="s">
        <v>97</v>
      </c>
      <c r="D95" s="2" t="s">
        <v>76</v>
      </c>
      <c r="E95" s="2" t="s">
        <v>281</v>
      </c>
      <c r="F95" s="3" t="n">
        <v>44130</v>
      </c>
      <c r="G95" s="2" t="s">
        <v>38</v>
      </c>
      <c r="H95" s="2" t="s">
        <v>49</v>
      </c>
      <c r="I95" s="2" t="s">
        <v>409</v>
      </c>
      <c r="J95" s="2" t="s">
        <v>410</v>
      </c>
      <c r="K95" s="2" t="s">
        <v>102</v>
      </c>
      <c r="L95" s="4" t="n">
        <v>728529</v>
      </c>
      <c r="M95" s="5" t="s">
        <v>23</v>
      </c>
    </row>
    <row r="96" customFormat="false" ht="15" hidden="false" customHeight="false" outlineLevel="0" collapsed="false">
      <c r="A96" s="2" t="s">
        <v>411</v>
      </c>
      <c r="B96" s="2" t="s">
        <v>346</v>
      </c>
      <c r="C96" s="2" t="s">
        <v>75</v>
      </c>
      <c r="D96" s="2" t="s">
        <v>105</v>
      </c>
      <c r="E96" s="2" t="s">
        <v>214</v>
      </c>
      <c r="F96" s="3" t="n">
        <v>43677</v>
      </c>
      <c r="G96" s="2" t="s">
        <v>18</v>
      </c>
      <c r="H96" s="2" t="s">
        <v>49</v>
      </c>
      <c r="I96" s="2" t="s">
        <v>412</v>
      </c>
      <c r="J96" s="2" t="s">
        <v>413</v>
      </c>
      <c r="K96" s="2" t="s">
        <v>42</v>
      </c>
      <c r="L96" s="4" t="n">
        <v>1468637</v>
      </c>
      <c r="M96" s="6" t="s">
        <v>33</v>
      </c>
    </row>
    <row r="97" customFormat="false" ht="15" hidden="false" customHeight="false" outlineLevel="0" collapsed="false">
      <c r="A97" s="2" t="s">
        <v>414</v>
      </c>
      <c r="B97" s="2" t="s">
        <v>61</v>
      </c>
      <c r="C97" s="2" t="s">
        <v>142</v>
      </c>
      <c r="D97" s="2" t="s">
        <v>16</v>
      </c>
      <c r="E97" s="2" t="s">
        <v>198</v>
      </c>
      <c r="F97" s="3" t="n">
        <v>42365</v>
      </c>
      <c r="G97" s="2" t="s">
        <v>18</v>
      </c>
      <c r="H97" s="2" t="s">
        <v>49</v>
      </c>
      <c r="I97" s="2" t="s">
        <v>415</v>
      </c>
      <c r="J97" s="2" t="s">
        <v>416</v>
      </c>
      <c r="K97" s="2" t="s">
        <v>42</v>
      </c>
      <c r="L97" s="4" t="n">
        <v>711904</v>
      </c>
      <c r="M97" s="7" t="s">
        <v>43</v>
      </c>
    </row>
    <row r="98" customFormat="false" ht="15" hidden="false" customHeight="false" outlineLevel="0" collapsed="false">
      <c r="A98" s="2" t="s">
        <v>417</v>
      </c>
      <c r="B98" s="2" t="s">
        <v>402</v>
      </c>
      <c r="C98" s="2" t="s">
        <v>174</v>
      </c>
      <c r="D98" s="2" t="s">
        <v>105</v>
      </c>
      <c r="E98" s="2" t="s">
        <v>214</v>
      </c>
      <c r="F98" s="3" t="n">
        <v>42227</v>
      </c>
      <c r="G98" s="2" t="s">
        <v>18</v>
      </c>
      <c r="H98" s="2" t="s">
        <v>39</v>
      </c>
      <c r="I98" s="2" t="s">
        <v>418</v>
      </c>
      <c r="J98" s="2" t="s">
        <v>419</v>
      </c>
      <c r="K98" s="2" t="s">
        <v>102</v>
      </c>
      <c r="L98" s="4" t="n">
        <v>1822707</v>
      </c>
      <c r="M98" s="5" t="s">
        <v>23</v>
      </c>
    </row>
    <row r="99" customFormat="false" ht="15" hidden="false" customHeight="false" outlineLevel="0" collapsed="false">
      <c r="A99" s="2" t="s">
        <v>420</v>
      </c>
      <c r="B99" s="2" t="s">
        <v>342</v>
      </c>
      <c r="C99" s="2" t="s">
        <v>97</v>
      </c>
      <c r="D99" s="2" t="s">
        <v>36</v>
      </c>
      <c r="E99" s="2" t="s">
        <v>193</v>
      </c>
      <c r="F99" s="3" t="n">
        <v>44254</v>
      </c>
      <c r="G99" s="2" t="s">
        <v>18</v>
      </c>
      <c r="H99" s="2" t="s">
        <v>49</v>
      </c>
      <c r="I99" s="2" t="s">
        <v>421</v>
      </c>
      <c r="J99" s="2" t="s">
        <v>422</v>
      </c>
      <c r="K99" s="2" t="s">
        <v>22</v>
      </c>
      <c r="L99" s="4" t="n">
        <v>1808257</v>
      </c>
      <c r="M99" s="6" t="s">
        <v>33</v>
      </c>
    </row>
    <row r="100" customFormat="false" ht="15" hidden="false" customHeight="false" outlineLevel="0" collapsed="false">
      <c r="A100" s="2" t="s">
        <v>423</v>
      </c>
      <c r="B100" s="2" t="s">
        <v>35</v>
      </c>
      <c r="C100" s="2" t="s">
        <v>62</v>
      </c>
      <c r="D100" s="2" t="s">
        <v>36</v>
      </c>
      <c r="E100" s="2" t="s">
        <v>147</v>
      </c>
      <c r="F100" s="3" t="n">
        <v>43277</v>
      </c>
      <c r="G100" s="2" t="s">
        <v>107</v>
      </c>
      <c r="H100" s="2" t="s">
        <v>29</v>
      </c>
      <c r="I100" s="2" t="s">
        <v>424</v>
      </c>
      <c r="J100" s="2" t="s">
        <v>425</v>
      </c>
      <c r="K100" s="2" t="s">
        <v>59</v>
      </c>
      <c r="L100" s="4" t="n">
        <v>548868</v>
      </c>
      <c r="M100" s="6" t="s">
        <v>33</v>
      </c>
    </row>
    <row r="101" customFormat="false" ht="15" hidden="false" customHeight="false" outlineLevel="0" collapsed="false">
      <c r="A101" s="2" t="s">
        <v>426</v>
      </c>
      <c r="B101" s="2" t="s">
        <v>221</v>
      </c>
      <c r="C101" s="2" t="s">
        <v>202</v>
      </c>
      <c r="D101" s="2" t="s">
        <v>105</v>
      </c>
      <c r="E101" s="2" t="s">
        <v>106</v>
      </c>
      <c r="F101" s="3" t="n">
        <v>43200</v>
      </c>
      <c r="G101" s="2" t="s">
        <v>107</v>
      </c>
      <c r="H101" s="2" t="s">
        <v>99</v>
      </c>
      <c r="I101" s="2" t="s">
        <v>427</v>
      </c>
      <c r="J101" s="2" t="s">
        <v>428</v>
      </c>
      <c r="K101" s="2" t="s">
        <v>59</v>
      </c>
      <c r="L101" s="4" t="n">
        <v>1805937</v>
      </c>
      <c r="M101" s="6" t="s">
        <v>33</v>
      </c>
    </row>
    <row r="103" customFormat="false" ht="15" hidden="false" customHeight="false" outlineLevel="0" collapsed="false">
      <c r="A103" s="8" t="s">
        <v>429</v>
      </c>
      <c r="B103" s="8" t="n">
        <f aca="false">COUNTA(A2:A101)</f>
        <v>100</v>
      </c>
    </row>
    <row r="104" customFormat="false" ht="15" hidden="false" customHeight="false" outlineLevel="0" collapsed="false">
      <c r="A104" s="8" t="s">
        <v>430</v>
      </c>
      <c r="B104" s="9" t="n">
        <f aca="false">SUM(L2:L101)</f>
        <v>118763088</v>
      </c>
    </row>
    <row r="105" customFormat="false" ht="15" hidden="false" customHeight="false" outlineLevel="0" collapsed="false">
      <c r="A105" s="8" t="s">
        <v>431</v>
      </c>
      <c r="B105" s="8" t="n">
        <f aca="false">COUNTIF(M2:M101,"Active")</f>
        <v>71</v>
      </c>
    </row>
    <row r="106" customFormat="false" ht="15" hidden="false" customHeight="false" outlineLevel="0" collapsed="false">
      <c r="A106" s="8" t="s">
        <v>432</v>
      </c>
      <c r="B106" s="8" t="n">
        <f aca="false">COUNTIF(M2:M101,"On Leave")</f>
        <v>14</v>
      </c>
    </row>
    <row r="107" customFormat="false" ht="15" hidden="false" customHeight="false" outlineLevel="0" collapsed="false">
      <c r="A107" s="8" t="s">
        <v>433</v>
      </c>
      <c r="B107" s="8" t="n">
        <f aca="false">COUNTIF(M2:M101,"Resigned")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20"/>
  </cols>
  <sheetData>
    <row r="1" customFormat="false" ht="26.85" hidden="false" customHeight="false" outlineLevel="0" collapsed="false">
      <c r="A1" s="10" t="s">
        <v>3</v>
      </c>
      <c r="B1" s="10" t="s">
        <v>434</v>
      </c>
      <c r="C1" s="10" t="s">
        <v>435</v>
      </c>
    </row>
    <row r="2" customFormat="false" ht="15" hidden="false" customHeight="false" outlineLevel="0" collapsed="false">
      <c r="A2" s="11" t="s">
        <v>68</v>
      </c>
      <c r="B2" s="11" t="n">
        <f aca="false">COUNTIF('Employee Details'!D2:D101,A2)</f>
        <v>8</v>
      </c>
      <c r="C2" s="12" t="n">
        <f aca="false">SUMIF('Employee Details'!D2:D101,A2,'Employee Details'!L2:L101)</f>
        <v>8346801</v>
      </c>
    </row>
    <row r="3" customFormat="false" ht="15" hidden="false" customHeight="false" outlineLevel="0" collapsed="false">
      <c r="A3" s="11" t="s">
        <v>16</v>
      </c>
      <c r="B3" s="11" t="n">
        <f aca="false">COUNTIF('Employee Details'!D2:D101,A3)</f>
        <v>11</v>
      </c>
      <c r="C3" s="12" t="n">
        <f aca="false">SUMIF('Employee Details'!D2:D101,A3,'Employee Details'!L2:L101)</f>
        <v>15588469</v>
      </c>
    </row>
    <row r="4" customFormat="false" ht="15" hidden="false" customHeight="false" outlineLevel="0" collapsed="false">
      <c r="A4" s="11" t="s">
        <v>55</v>
      </c>
      <c r="B4" s="11" t="n">
        <f aca="false">COUNTIF('Employee Details'!D2:D101,A4)</f>
        <v>8</v>
      </c>
      <c r="C4" s="12" t="n">
        <f aca="false">SUMIF('Employee Details'!D2:D101,A4,'Employee Details'!L2:L101)</f>
        <v>7489034</v>
      </c>
    </row>
    <row r="5" customFormat="false" ht="15" hidden="false" customHeight="false" outlineLevel="0" collapsed="false">
      <c r="A5" s="11" t="s">
        <v>36</v>
      </c>
      <c r="B5" s="11" t="n">
        <f aca="false">COUNTIF('Employee Details'!D2:D101,A5)</f>
        <v>17</v>
      </c>
      <c r="C5" s="12" t="n">
        <f aca="false">SUMIF('Employee Details'!D2:D101,A5,'Employee Details'!L2:L101)</f>
        <v>14459681</v>
      </c>
    </row>
    <row r="6" customFormat="false" ht="15" hidden="false" customHeight="false" outlineLevel="0" collapsed="false">
      <c r="A6" s="11" t="s">
        <v>76</v>
      </c>
      <c r="B6" s="11" t="n">
        <f aca="false">COUNTIF('Employee Details'!D2:D101,A6)</f>
        <v>12</v>
      </c>
      <c r="C6" s="12" t="n">
        <f aca="false">SUMIF('Employee Details'!D2:D101,A6,'Employee Details'!L2:L101)</f>
        <v>12584604</v>
      </c>
    </row>
    <row r="7" customFormat="false" ht="15" hidden="false" customHeight="false" outlineLevel="0" collapsed="false">
      <c r="A7" s="11" t="s">
        <v>47</v>
      </c>
      <c r="B7" s="11" t="n">
        <f aca="false">COUNTIF('Employee Details'!D2:D101,A7)</f>
        <v>15</v>
      </c>
      <c r="C7" s="12" t="n">
        <f aca="false">SUMIF('Employee Details'!D2:D101,A7,'Employee Details'!L2:L101)</f>
        <v>17788602</v>
      </c>
    </row>
    <row r="8" customFormat="false" ht="15" hidden="false" customHeight="false" outlineLevel="0" collapsed="false">
      <c r="A8" s="11" t="s">
        <v>105</v>
      </c>
      <c r="B8" s="11" t="n">
        <f aca="false">COUNTIF('Employee Details'!D2:D101,A8)</f>
        <v>11</v>
      </c>
      <c r="C8" s="12" t="n">
        <f aca="false">SUMIF('Employee Details'!D2:D101,A8,'Employee Details'!L2:L101)</f>
        <v>15806862</v>
      </c>
    </row>
    <row r="9" customFormat="false" ht="15" hidden="false" customHeight="false" outlineLevel="0" collapsed="false">
      <c r="A9" s="11" t="s">
        <v>27</v>
      </c>
      <c r="B9" s="11" t="n">
        <f aca="false">COUNTIF('Employee Details'!D2:D101,A9)</f>
        <v>18</v>
      </c>
      <c r="C9" s="12" t="n">
        <f aca="false">SUMIF('Employee Details'!D2:D101,A9,'Employee Details'!L2:L101)</f>
        <v>26699035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5"/>
  </cols>
  <sheetData>
    <row r="1" customFormat="false" ht="15" hidden="false" customHeight="false" outlineLevel="0" collapsed="false">
      <c r="A1" s="13" t="s">
        <v>436</v>
      </c>
    </row>
    <row r="2" customFormat="false" ht="15" hidden="false" customHeight="false" outlineLevel="0" collapsed="false">
      <c r="A2" s="11"/>
    </row>
    <row r="3" customFormat="false" ht="15" hidden="false" customHeight="false" outlineLevel="0" collapsed="false">
      <c r="A3" s="11" t="s">
        <v>437</v>
      </c>
    </row>
    <row r="4" customFormat="false" ht="15" hidden="false" customHeight="false" outlineLevel="0" collapsed="false">
      <c r="A4" s="11" t="s">
        <v>438</v>
      </c>
    </row>
    <row r="5" customFormat="false" ht="15" hidden="false" customHeight="false" outlineLevel="0" collapsed="false">
      <c r="A5" s="11" t="s">
        <v>439</v>
      </c>
    </row>
    <row r="6" customFormat="false" ht="15" hidden="false" customHeight="false" outlineLevel="0" collapsed="false">
      <c r="A6" s="11" t="s">
        <v>440</v>
      </c>
    </row>
    <row r="7" customFormat="false" ht="15" hidden="false" customHeight="false" outlineLevel="0" collapsed="false">
      <c r="A7" s="11" t="s">
        <v>441</v>
      </c>
    </row>
    <row r="8" customFormat="false" ht="15" hidden="false" customHeight="false" outlineLevel="0" collapsed="false">
      <c r="A8" s="11" t="s">
        <v>442</v>
      </c>
    </row>
    <row r="9" customFormat="false" ht="15" hidden="false" customHeight="false" outlineLevel="0" collapsed="false">
      <c r="A9" s="11" t="s">
        <v>443</v>
      </c>
    </row>
    <row r="10" customFormat="false" ht="15" hidden="false" customHeight="false" outlineLevel="0" collapsed="false">
      <c r="A10" s="11" t="s">
        <v>444</v>
      </c>
    </row>
    <row r="11" customFormat="false" ht="15" hidden="false" customHeight="false" outlineLevel="0" collapsed="false">
      <c r="A11" s="11" t="s">
        <v>445</v>
      </c>
    </row>
    <row r="12" customFormat="false" ht="15" hidden="false" customHeight="false" outlineLevel="0" collapsed="false">
      <c r="A12" s="11" t="s">
        <v>446</v>
      </c>
    </row>
    <row r="13" customFormat="false" ht="15" hidden="false" customHeight="false" outlineLevel="0" collapsed="false">
      <c r="A13" s="11"/>
    </row>
    <row r="14" customFormat="false" ht="15" hidden="false" customHeight="false" outlineLevel="0" collapsed="false">
      <c r="A14" s="11" t="s">
        <v>447</v>
      </c>
    </row>
    <row r="15" customFormat="false" ht="15" hidden="false" customHeight="false" outlineLevel="0" collapsed="false">
      <c r="A15" s="11" t="s">
        <v>448</v>
      </c>
    </row>
    <row r="16" customFormat="false" ht="15" hidden="false" customHeight="false" outlineLevel="0" collapsed="false">
      <c r="A16" s="11" t="s">
        <v>449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2026-09-11T10:30:18Z</dcterms:created>
  <dc:creator>openpyxl</dc:creator>
  <dc:description/>
  <dc:language>en-US</dc:language>
  <cp:lastModifiedBy/>
  <dcterms:modified xsi:type="dcterms:W3CDTF">2026-09-11T10:30:18Z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